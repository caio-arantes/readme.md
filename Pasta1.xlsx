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arantes\Desktop\"/>
    </mc:Choice>
  </mc:AlternateContent>
  <xr:revisionPtr revIDLastSave="0" documentId="13_ncr:1_{3D8B5309-44DE-486B-8210-5B7DC87C805B}" xr6:coauthVersionLast="47" xr6:coauthVersionMax="47" xr10:uidLastSave="{00000000-0000-0000-0000-000000000000}"/>
  <bookViews>
    <workbookView xWindow="-120" yWindow="-120" windowWidth="20730" windowHeight="11310" xr2:uid="{8FC6CFE9-BA5D-4A40-9249-3AD49473609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21" i="1"/>
  <c r="E21" i="1"/>
  <c r="F21" i="1"/>
  <c r="G21" i="1"/>
  <c r="H21" i="1"/>
  <c r="I21" i="1"/>
  <c r="J21" i="1"/>
  <c r="K21" i="1"/>
  <c r="L21" i="1"/>
  <c r="M21" i="1"/>
  <c r="N21" i="1"/>
  <c r="O21" i="1"/>
  <c r="C21" i="1"/>
  <c r="I18" i="1"/>
  <c r="J18" i="1"/>
  <c r="D32" i="1"/>
  <c r="D31" i="1" s="1"/>
  <c r="E32" i="1"/>
  <c r="F32" i="1"/>
  <c r="G32" i="1"/>
  <c r="H32" i="1"/>
  <c r="I32" i="1"/>
  <c r="J32" i="1"/>
  <c r="K32" i="1"/>
  <c r="L32" i="1"/>
  <c r="M32" i="1"/>
  <c r="N32" i="1"/>
  <c r="O32" i="1"/>
  <c r="C32" i="1"/>
  <c r="C31" i="1" s="1"/>
  <c r="D18" i="1"/>
  <c r="E18" i="1"/>
  <c r="F18" i="1"/>
  <c r="G18" i="1"/>
  <c r="H18" i="1"/>
  <c r="K18" i="1"/>
  <c r="L18" i="1"/>
  <c r="M18" i="1"/>
  <c r="N18" i="1"/>
  <c r="O18" i="1"/>
  <c r="C18" i="1"/>
  <c r="B21" i="1"/>
  <c r="O10" i="1" l="1"/>
  <c r="N10" i="1"/>
  <c r="M10" i="1"/>
  <c r="L10" i="1"/>
  <c r="K10" i="1"/>
  <c r="O13" i="1"/>
  <c r="O12" i="1"/>
  <c r="N13" i="1"/>
  <c r="N12" i="1"/>
  <c r="M13" i="1"/>
  <c r="M12" i="1"/>
  <c r="L13" i="1"/>
  <c r="L12" i="1"/>
  <c r="K13" i="1"/>
  <c r="K12" i="1"/>
  <c r="O11" i="1"/>
  <c r="N11" i="1"/>
  <c r="M11" i="1"/>
  <c r="L11" i="1"/>
  <c r="K11" i="1"/>
  <c r="O31" i="1" l="1"/>
  <c r="K31" i="1"/>
  <c r="L31" i="1"/>
  <c r="M31" i="1"/>
  <c r="N31" i="1"/>
  <c r="K14" i="1"/>
  <c r="L14" i="1"/>
  <c r="M14" i="1"/>
  <c r="N14" i="1"/>
  <c r="O14" i="1"/>
  <c r="J14" i="1"/>
  <c r="K9" i="1"/>
  <c r="K8" i="1" s="1"/>
  <c r="L9" i="1"/>
  <c r="M9" i="1"/>
  <c r="N9" i="1"/>
  <c r="N8" i="1" s="1"/>
  <c r="O9" i="1"/>
  <c r="O8" i="1" s="1"/>
  <c r="M8" i="1" l="1"/>
  <c r="M4" i="1" s="1"/>
  <c r="L8" i="1"/>
  <c r="L4" i="1" s="1"/>
  <c r="K4" i="1"/>
  <c r="O4" i="1"/>
  <c r="N4" i="1"/>
  <c r="J10" i="1"/>
  <c r="I10" i="1"/>
  <c r="H10" i="1"/>
  <c r="G10" i="1"/>
  <c r="F10" i="1"/>
  <c r="E10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J9" i="1" l="1"/>
  <c r="J8" i="1" s="1"/>
  <c r="E14" i="1"/>
  <c r="F14" i="1"/>
  <c r="G14" i="1"/>
  <c r="H14" i="1"/>
  <c r="I14" i="1"/>
  <c r="D14" i="1"/>
  <c r="E31" i="1"/>
  <c r="C23" i="1"/>
  <c r="I11" i="1" l="1"/>
  <c r="H11" i="1"/>
  <c r="G11" i="1"/>
  <c r="E9" i="1" l="1"/>
  <c r="E8" i="1" s="1"/>
  <c r="H31" i="1"/>
  <c r="I31" i="1"/>
  <c r="B32" i="1"/>
  <c r="F31" i="1"/>
  <c r="G31" i="1"/>
  <c r="J31" i="1"/>
  <c r="H9" i="1"/>
  <c r="H8" i="1" s="1"/>
  <c r="I9" i="1"/>
  <c r="I8" i="1" s="1"/>
  <c r="G9" i="1"/>
  <c r="G8" i="1" s="1"/>
  <c r="B9" i="1"/>
  <c r="D9" i="1"/>
  <c r="D8" i="1" s="1"/>
  <c r="F9" i="1"/>
  <c r="F8" i="1" s="1"/>
  <c r="C9" i="1"/>
  <c r="C8" i="1" s="1"/>
  <c r="B8" i="1" l="1"/>
  <c r="I4" i="1"/>
  <c r="C30" i="1"/>
  <c r="D30" i="1" s="1"/>
  <c r="E30" i="1" s="1"/>
  <c r="F30" i="1" s="1"/>
  <c r="C4" i="1"/>
  <c r="H4" i="1"/>
  <c r="J4" i="1"/>
  <c r="F4" i="1"/>
  <c r="G4" i="1"/>
  <c r="E4" i="1"/>
  <c r="D4" i="1" l="1"/>
  <c r="C7" i="1"/>
  <c r="C3" i="1" s="1"/>
  <c r="D7" i="1" l="1"/>
  <c r="E7" i="1" s="1"/>
  <c r="G30" i="1"/>
  <c r="H30" i="1" s="1"/>
  <c r="I30" i="1" s="1"/>
  <c r="J30" i="1" s="1"/>
  <c r="K30" i="1" s="1"/>
  <c r="L30" i="1" s="1"/>
  <c r="M30" i="1" s="1"/>
  <c r="N30" i="1" s="1"/>
  <c r="O30" i="1" s="1"/>
  <c r="D3" i="1" l="1"/>
  <c r="E3" i="1"/>
  <c r="F7" i="1" l="1"/>
  <c r="G7" i="1" s="1"/>
  <c r="F3" i="1" l="1"/>
  <c r="G3" i="1" l="1"/>
  <c r="H7" i="1"/>
  <c r="I7" i="1" s="1"/>
  <c r="J7" i="1" s="1"/>
  <c r="J3" i="1" l="1"/>
  <c r="K7" i="1"/>
  <c r="H3" i="1"/>
  <c r="K3" i="1" l="1"/>
  <c r="L7" i="1"/>
  <c r="I3" i="1"/>
  <c r="M7" i="1" l="1"/>
  <c r="L3" i="1"/>
  <c r="N7" i="1" l="1"/>
  <c r="M3" i="1"/>
  <c r="O7" i="1" l="1"/>
  <c r="O3" i="1" s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tc={EABCC132-4630-47AA-BEA4-2BBEE353702C}</author>
    <author>tc={3332CBCF-F713-408C-B4BE-BE9306C73E2C}</author>
    <author>tc={6C226667-42E5-4FA2-B41E-AAFF3A88397C}</author>
    <author>tc={DCACEC12-F0D4-44CC-B0C8-A111B7F9EA11}</author>
    <author>tc={AFA5871D-8F7E-4D1B-BC0D-234DDFDB0EE6}</author>
    <author>tc={FCDE1E26-CA6E-4472-B379-932143091E1F}</author>
    <author>tc={0403E687-93A7-426A-A934-9808AB4725D6}</author>
    <author>tc={7D53D0A6-A78A-417E-AA3B-9AC0E1AC17D6}</author>
    <author>tc={455B642E-B7A9-4D8F-8CF6-10C6EA9811A1}</author>
  </authors>
  <commentList>
    <comment ref="C18" authorId="0" shapeId="0" xr:uid="{EABCC132-4630-47AA-BEA4-2BBEE35370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Boleto em atraso</t>
      </text>
    </comment>
    <comment ref="D20" authorId="1" shapeId="0" xr:uid="{3332CBCF-F713-408C-B4BE-BE9306C73E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1-6</t>
      </text>
    </comment>
    <comment ref="E20" authorId="2" shapeId="0" xr:uid="{6C226667-42E5-4FA2-B41E-AAFF3A8839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2-6</t>
      </text>
    </comment>
    <comment ref="F20" authorId="3" shapeId="0" xr:uid="{DCACEC12-F0D4-44CC-B0C8-A111B7F9EA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3-6</t>
      </text>
    </comment>
    <comment ref="G20" authorId="4" shapeId="0" xr:uid="{AFA5871D-8F7E-4D1B-BC0D-234DDFDB0E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4-6</t>
      </text>
    </comment>
    <comment ref="H20" authorId="5" shapeId="0" xr:uid="{FCDE1E26-CA6E-4472-B379-932143091E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5-6</t>
      </text>
    </comment>
    <comment ref="I20" authorId="6" shapeId="0" xr:uid="{0403E687-93A7-426A-A934-9808AB4725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6-6</t>
      </text>
    </comment>
    <comment ref="J20" authorId="7" shapeId="0" xr:uid="{7D53D0A6-A78A-417E-AA3B-9AC0E1AC17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Refis Parcela 6-6</t>
      </text>
    </comment>
    <comment ref="C23" authorId="8" shapeId="0" xr:uid="{455B642E-B7A9-4D8F-8CF6-10C6EA9811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2 faturas</t>
      </text>
    </comment>
  </commentList>
</comments>
</file>

<file path=xl/sharedStrings.xml><?xml version="1.0" encoding="utf-8"?>
<sst xmlns="http://schemas.openxmlformats.org/spreadsheetml/2006/main" count="300" uniqueCount="176">
  <si>
    <t>Dívidas</t>
  </si>
  <si>
    <t>1. Fat. Cartão</t>
  </si>
  <si>
    <t>1.2 Santander</t>
  </si>
  <si>
    <t>1.3 Itaú</t>
  </si>
  <si>
    <t>1.4 MP CA</t>
  </si>
  <si>
    <t>1.5 MP MA</t>
  </si>
  <si>
    <t>5 Despesas</t>
  </si>
  <si>
    <t>5.1 Água</t>
  </si>
  <si>
    <t>5.2 Energia</t>
  </si>
  <si>
    <t>Saldo Opercional</t>
  </si>
  <si>
    <t>Saldo acumulado</t>
  </si>
  <si>
    <t>3 Empréstimos</t>
  </si>
  <si>
    <t>3.1 Carro</t>
  </si>
  <si>
    <t>3.2 Contas</t>
  </si>
  <si>
    <t>6 Dízimo</t>
  </si>
  <si>
    <t>Receitas</t>
  </si>
  <si>
    <t>Saldo operacional</t>
  </si>
  <si>
    <t>2 Outras Fontes</t>
  </si>
  <si>
    <t>Fluxo de caixa</t>
  </si>
  <si>
    <t>Total Saldo acumulado</t>
  </si>
  <si>
    <t>Total Saldo operacional</t>
  </si>
  <si>
    <t>Despesas</t>
  </si>
  <si>
    <t>Americanas</t>
  </si>
  <si>
    <t>484579</t>
  </si>
  <si>
    <t>Ultramed</t>
  </si>
  <si>
    <t>106034</t>
  </si>
  <si>
    <t>Allegra</t>
  </si>
  <si>
    <t>613183</t>
  </si>
  <si>
    <t>Smart</t>
  </si>
  <si>
    <t>105326</t>
  </si>
  <si>
    <t>70335</t>
  </si>
  <si>
    <t>Sup. Brasil</t>
  </si>
  <si>
    <t>Magazine Calvest</t>
  </si>
  <si>
    <t>Crt. Itaú.2</t>
  </si>
  <si>
    <t>Crt. Itaú.3</t>
  </si>
  <si>
    <t>Crt. Itaú.4</t>
  </si>
  <si>
    <t>Crt. Itaú.5</t>
  </si>
  <si>
    <t>Crt. Itaú.6</t>
  </si>
  <si>
    <t>Crt. Itaú.7</t>
  </si>
  <si>
    <t>Crt. Itaú.8</t>
  </si>
  <si>
    <t>Crt. Itaú.9</t>
  </si>
  <si>
    <t>Crt. Itaú.10</t>
  </si>
  <si>
    <t>Crt. Itaú.11</t>
  </si>
  <si>
    <t>Posto Globo</t>
  </si>
  <si>
    <t>DATA COMPRA</t>
  </si>
  <si>
    <t>DOC.</t>
  </si>
  <si>
    <t>FORNECEDOR</t>
  </si>
  <si>
    <t>VALOR</t>
  </si>
  <si>
    <t>1.1 Salário</t>
  </si>
  <si>
    <t>1 Ganhos STMIL</t>
  </si>
  <si>
    <t>3.3 Pic pay</t>
  </si>
  <si>
    <t>5.3 Internet</t>
  </si>
  <si>
    <t>Mercado Prime</t>
  </si>
  <si>
    <t>113959</t>
  </si>
  <si>
    <t>Sup. Bom Preço</t>
  </si>
  <si>
    <t>336035</t>
  </si>
  <si>
    <t>4 Habitação</t>
  </si>
  <si>
    <t>Finan. Casa</t>
  </si>
  <si>
    <t>IPTU</t>
  </si>
  <si>
    <t>1.2 13°</t>
  </si>
  <si>
    <t>1.3 Férias</t>
  </si>
  <si>
    <t>1.4 Alelo (Alimentação)</t>
  </si>
  <si>
    <t>Brink Fort</t>
  </si>
  <si>
    <t>336365</t>
  </si>
  <si>
    <t>474661</t>
  </si>
  <si>
    <t>96468</t>
  </si>
  <si>
    <t>Posto Planalto</t>
  </si>
  <si>
    <t>118315</t>
  </si>
  <si>
    <t>Posto WK</t>
  </si>
  <si>
    <t>Óticas Diniz (1/10)</t>
  </si>
  <si>
    <t>Óticas Diniz (2/10)</t>
  </si>
  <si>
    <t>Óticas Diniz (3/10)</t>
  </si>
  <si>
    <t>Óticas Diniz (4/10)</t>
  </si>
  <si>
    <t>Óticas Diniz (5/10)</t>
  </si>
  <si>
    <t>Óticas Diniz (6/10)</t>
  </si>
  <si>
    <t>Óticas Diniz (7/10)</t>
  </si>
  <si>
    <t>Óticas Diniz (8/10)</t>
  </si>
  <si>
    <t>Óticas Diniz (9/10)</t>
  </si>
  <si>
    <t>Óticas Diniz (10/10)</t>
  </si>
  <si>
    <t>Crt. MP CA.2</t>
  </si>
  <si>
    <t>Crt. MP CA.3</t>
  </si>
  <si>
    <t>Crt. MP CA.4</t>
  </si>
  <si>
    <t>Crt. MP CA.5</t>
  </si>
  <si>
    <t>Crt. MP CA.6</t>
  </si>
  <si>
    <t>Crt. MP CA.7</t>
  </si>
  <si>
    <t>Crt. MP CA.8</t>
  </si>
  <si>
    <t>Crt. MP CA.9</t>
  </si>
  <si>
    <t>Crt. MP CA.10</t>
  </si>
  <si>
    <t>Crt. MP CA.11</t>
  </si>
  <si>
    <t>Crt. MP CA.12</t>
  </si>
  <si>
    <t/>
  </si>
  <si>
    <t>Madesa ML (5/15)</t>
  </si>
  <si>
    <t>Madesa ML (6/15)</t>
  </si>
  <si>
    <t>Madesa ML (7/15)</t>
  </si>
  <si>
    <t>Madesa ML (9/15)</t>
  </si>
  <si>
    <t>Madesa ML (10/15)</t>
  </si>
  <si>
    <t>Madesa ML (8/15)</t>
  </si>
  <si>
    <t>Madesa ML (11/15)</t>
  </si>
  <si>
    <t>Madesa ML (12/15)</t>
  </si>
  <si>
    <t>Madesa ML (13/15)</t>
  </si>
  <si>
    <t>Madesa ML (14/15)</t>
  </si>
  <si>
    <t>Madesa ML (15/15)</t>
  </si>
  <si>
    <t>Mercado Livre (9/13)</t>
  </si>
  <si>
    <t>Mercado Livre (10/13)</t>
  </si>
  <si>
    <t>Mercado Livre (11/13)</t>
  </si>
  <si>
    <t>Mercado Livre (12/13)</t>
  </si>
  <si>
    <t>Mercado Livre (13/13)</t>
  </si>
  <si>
    <t>Mercado Livre Ebazar (14/18)</t>
  </si>
  <si>
    <t>Mercado Livre Ebazar (15/18)</t>
  </si>
  <si>
    <t>Mercado Livre Ebazar (16/18)</t>
  </si>
  <si>
    <t>Mercado Livre Ebazar (17/18)</t>
  </si>
  <si>
    <t>Mercado Livre Ebazar (18/18)</t>
  </si>
  <si>
    <t>Fatura Parc. (2/12)</t>
  </si>
  <si>
    <t>Fatura Parc. (3/12)</t>
  </si>
  <si>
    <t>Fatura Parc. (4/12)</t>
  </si>
  <si>
    <t>Fatura Parc. (5/12)</t>
  </si>
  <si>
    <t>Fatura Parc. (6/12)</t>
  </si>
  <si>
    <t>Fatura Parc. (7/12)</t>
  </si>
  <si>
    <t>Fatura Parc. (8/12)</t>
  </si>
  <si>
    <t>Fatura Parc. (9/12)</t>
  </si>
  <si>
    <t>Fatura Parc. (10/12)</t>
  </si>
  <si>
    <t>Fatura Parc. (11/12)</t>
  </si>
  <si>
    <t>Fatura Parc. (12/12)</t>
  </si>
  <si>
    <t>Mercado Livre 8/12</t>
  </si>
  <si>
    <t>Mercado Livre 9/12</t>
  </si>
  <si>
    <t>Mercado Livre 10/12</t>
  </si>
  <si>
    <t>Mercado Livre 11/12</t>
  </si>
  <si>
    <t>Mercado Livre 12/12</t>
  </si>
  <si>
    <t>Mercado Livre 8/9</t>
  </si>
  <si>
    <t>Mercado Livre 9/9</t>
  </si>
  <si>
    <t>Magazine Calvest 7/8</t>
  </si>
  <si>
    <t>Magazine Calvest 8/8</t>
  </si>
  <si>
    <t>Magazine Calvest 5/6</t>
  </si>
  <si>
    <t>Magazine Calvest 6/6</t>
  </si>
  <si>
    <t>Macaco Prego 5/7</t>
  </si>
  <si>
    <t>Macaco Prego 6/7</t>
  </si>
  <si>
    <t>Macaco Prego 7/7</t>
  </si>
  <si>
    <t>Shoppe 5/6</t>
  </si>
  <si>
    <t>Shoppe 6/6</t>
  </si>
  <si>
    <t>Mercado Livre 05/11</t>
  </si>
  <si>
    <t>Mercado Livre 06/11</t>
  </si>
  <si>
    <t>Mercado Livre 07/11</t>
  </si>
  <si>
    <t>Mercado Livre 08/11</t>
  </si>
  <si>
    <t>Mercado Livre 09/11</t>
  </si>
  <si>
    <t>Mercado Livre 10/11</t>
  </si>
  <si>
    <t>Mercado Livre 11/11</t>
  </si>
  <si>
    <t>Mercado Livre 3/4</t>
  </si>
  <si>
    <t>Mercado Livre 4/4</t>
  </si>
  <si>
    <t>MP Monike 2/3</t>
  </si>
  <si>
    <t>MP Monike 3/3</t>
  </si>
  <si>
    <t xml:space="preserve">MP CAIO NIQ </t>
  </si>
  <si>
    <t>5.4 Saúde</t>
  </si>
  <si>
    <t>Mercado Livre 3/11</t>
  </si>
  <si>
    <t>Crt. MP MA.2</t>
  </si>
  <si>
    <t>Crt. MP MA.3</t>
  </si>
  <si>
    <t>Crt. MP MA.4</t>
  </si>
  <si>
    <t>Crt. MP MA.5</t>
  </si>
  <si>
    <t>Crt. MP MA.6</t>
  </si>
  <si>
    <t>Crt. MP MA.7</t>
  </si>
  <si>
    <t>Crt. MP MA.8</t>
  </si>
  <si>
    <t>Crt. MP MA.9</t>
  </si>
  <si>
    <t>Crt. MP MA.10</t>
  </si>
  <si>
    <t>Crt. MP MA.11</t>
  </si>
  <si>
    <t>Mercado Livre 4/11</t>
  </si>
  <si>
    <t>Mercado Livre 5/11</t>
  </si>
  <si>
    <t>Mercado Livre 6/11</t>
  </si>
  <si>
    <t>Mercado Livre 7/11</t>
  </si>
  <si>
    <t>Mercado Livre 8/11</t>
  </si>
  <si>
    <t>Mercado Livre 9/11</t>
  </si>
  <si>
    <t>5.5 Netflix</t>
  </si>
  <si>
    <t>Lanchonete</t>
  </si>
  <si>
    <t>Taxa Itaú Crt. Crdt</t>
  </si>
  <si>
    <t>Shopping das Utilidades</t>
  </si>
  <si>
    <t>Macacao Prego</t>
  </si>
  <si>
    <t>Loja Vitória</t>
  </si>
  <si>
    <t>Restaurante Corumbá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</si>
</sst>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" fontId="0" fillId="0" borderId="0" xfId="0" applyNumberFormat="1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164" fontId="0" fillId="0" borderId="0" xfId="0" applyNumberFormat="1"/>
    <xf numFmtId="164" fontId="1" fillId="4" borderId="0" xfId="0" applyNumberFormat="1" applyFont="1" applyFill="1"/>
    <xf numFmtId="164" fontId="1" fillId="3" borderId="0" xfId="0" applyNumberFormat="1" applyFont="1" applyFill="1"/>
    <xf numFmtId="164" fontId="0" fillId="2" borderId="0" xfId="0" applyNumberFormat="1" applyFill="1"/>
    <xf numFmtId="164" fontId="1" fillId="5" borderId="0" xfId="0" applyNumberFormat="1" applyFont="1" applyFill="1"/>
    <xf numFmtId="164" fontId="1" fillId="2" borderId="0" xfId="0" applyNumberFormat="1" applyFont="1" applyFill="1"/>
    <xf numFmtId="164" fontId="0" fillId="6" borderId="0" xfId="0" applyNumberFormat="1" applyFill="1"/>
    <xf numFmtId="164" fontId="0" fillId="3" borderId="0" xfId="0" applyNumberFormat="1" applyFill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Cesar Moreira Arantes" id="{C8EB90F0-0FF1-4354-AE55-2899697A16A8}" userId="S-1-5-21-635760215-2848946576-47221431-1840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6-01-05T17:33:29.90" personId="{C8EB90F0-0FF1-4354-AE55-2899697A16A8}" id="{EABCC132-4630-47AA-BEA4-2BBEE353702C}">
    <text>Boleto em atraso</text>
  </threadedComment>
  <threadedComment ref="D20" dT="2026-01-08T12:19:34.47" personId="{C8EB90F0-0FF1-4354-AE55-2899697A16A8}" id="{3332CBCF-F713-408C-B4BE-BE9306C73E2C}">
    <text>Refis Parcela 1-6</text>
  </threadedComment>
  <threadedComment ref="E20" dT="2026-01-08T12:19:50.15" personId="{C8EB90F0-0FF1-4354-AE55-2899697A16A8}" id="{6C226667-42E5-4FA2-B41E-AAFF3A88397C}">
    <text>Refis Parcela 2-6</text>
  </threadedComment>
  <threadedComment ref="F20" dT="2026-01-08T12:20:19.84" personId="{C8EB90F0-0FF1-4354-AE55-2899697A16A8}" id="{DCACEC12-F0D4-44CC-B0C8-A111B7F9EA11}">
    <text>Refis Parcela 3-6</text>
  </threadedComment>
  <threadedComment ref="G20" dT="2026-01-08T12:20:36.75" personId="{C8EB90F0-0FF1-4354-AE55-2899697A16A8}" id="{AFA5871D-8F7E-4D1B-BC0D-234DDFDB0EE6}">
    <text>Refis Parcela 4-6</text>
  </threadedComment>
  <threadedComment ref="H20" dT="2026-01-08T12:20:45.85" personId="{C8EB90F0-0FF1-4354-AE55-2899697A16A8}" id="{FCDE1E26-CA6E-4472-B379-932143091E1F}">
    <text>Refis Parcela 5-6</text>
  </threadedComment>
  <threadedComment ref="I20" dT="2026-01-08T12:20:53.32" personId="{C8EB90F0-0FF1-4354-AE55-2899697A16A8}" id="{0403E687-93A7-426A-A934-9808AB4725D6}">
    <text>Refis Parcela 6-6</text>
  </threadedComment>
  <threadedComment ref="J20" dT="2026-01-08T12:20:53.32" personId="{C8EB90F0-0FF1-4354-AE55-2899697A16A8}" id="{7D53D0A6-A78A-417E-AA3B-9AC0E1AC17D6}">
    <text>Refis Parcela 6-6</text>
  </threadedComment>
  <threadedComment ref="C23" dT="2026-01-05T17:33:19.60" personId="{C8EB90F0-0FF1-4354-AE55-2899697A16A8}" id="{455B642E-B7A9-4D8F-8CF6-10C6EA9811A1}">
    <text>Pago 2 faturas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4213-DBFD-45DB-9FB6-CC13ECC9FF9C}">
  <dimension ref="A1:O47"/>
  <sheetViews>
    <sheetView tabSelected="1" zoomScale="85" zoomScaleNormal="85" workbookViewId="0">
      <selection activeCell="E12" sqref="E12"/>
    </sheetView>
  </sheetViews>
  <sheetFormatPr defaultRowHeight="15" x14ac:dyDescent="0.25"/>
  <cols>
    <col min="1" max="1" width="22.42578125" bestFit="1" customWidth="1"/>
    <col min="2" max="2" width="9.28515625" hidden="1" customWidth="1"/>
    <col min="3" max="3" width="10.85546875" bestFit="1" customWidth="1"/>
    <col min="4" max="6" width="11.5703125" bestFit="1" customWidth="1"/>
    <col min="7" max="7" width="11.85546875" bestFit="1" customWidth="1"/>
    <col min="8" max="15" width="12.5703125" bestFit="1" customWidth="1"/>
  </cols>
  <sheetData>
    <row r="1" spans="1:15" x14ac:dyDescent="0.25">
      <c r="B1" s="1">
        <v>45962</v>
      </c>
      <c r="C1" s="1">
        <v>45992</v>
      </c>
      <c r="D1" s="1">
        <v>46023</v>
      </c>
      <c r="E1" s="1">
        <v>46054</v>
      </c>
      <c r="F1" s="1">
        <v>46082</v>
      </c>
      <c r="G1" s="1">
        <v>46113</v>
      </c>
      <c r="H1" s="1">
        <v>46143</v>
      </c>
      <c r="I1" s="1">
        <v>46174</v>
      </c>
      <c r="J1" s="1">
        <v>46204</v>
      </c>
      <c r="K1" s="1">
        <v>46235</v>
      </c>
      <c r="L1" s="1">
        <v>46266</v>
      </c>
      <c r="M1" s="1">
        <v>46296</v>
      </c>
      <c r="N1" s="1">
        <v>46327</v>
      </c>
      <c r="O1" s="1">
        <v>46357</v>
      </c>
    </row>
    <row r="2" spans="1:15" x14ac:dyDescent="0.25">
      <c r="A2" t="s">
        <v>18</v>
      </c>
    </row>
    <row r="3" spans="1:15" s="2" customFormat="1" x14ac:dyDescent="0.25">
      <c r="A3" s="2" t="s">
        <v>19</v>
      </c>
      <c r="B3" s="7"/>
      <c r="C3" s="7">
        <f t="shared" ref="C3:O3" si="0">C30-C7</f>
        <v>3202.0899999999992</v>
      </c>
      <c r="D3" s="7">
        <f t="shared" si="0"/>
        <v>3625.3799999999992</v>
      </c>
      <c r="E3" s="7">
        <f t="shared" si="0"/>
        <v>678.14999999999964</v>
      </c>
      <c r="F3" s="7">
        <f t="shared" si="0"/>
        <v>-2265.8300000000008</v>
      </c>
      <c r="G3" s="7">
        <f t="shared" si="0"/>
        <v>-4367.9000000000005</v>
      </c>
      <c r="H3" s="7">
        <f t="shared" si="0"/>
        <v>-6408.45</v>
      </c>
      <c r="I3" s="7">
        <f t="shared" si="0"/>
        <v>-8449</v>
      </c>
      <c r="J3" s="7">
        <f t="shared" si="0"/>
        <v>-10181.779999999999</v>
      </c>
      <c r="K3" s="7">
        <f t="shared" si="0"/>
        <v>-11914.559999999998</v>
      </c>
      <c r="L3" s="7">
        <f t="shared" si="0"/>
        <v>-13602.409999999996</v>
      </c>
      <c r="M3" s="7">
        <f t="shared" si="0"/>
        <v>-15290.259999999995</v>
      </c>
      <c r="N3" s="7">
        <f t="shared" si="0"/>
        <v>-16978.109999999993</v>
      </c>
      <c r="O3" s="7">
        <f t="shared" si="0"/>
        <v>-18543.889999999992</v>
      </c>
    </row>
    <row r="4" spans="1:15" s="2" customFormat="1" x14ac:dyDescent="0.25">
      <c r="A4" s="2" t="s">
        <v>20</v>
      </c>
      <c r="B4" s="7"/>
      <c r="C4" s="7">
        <f t="shared" ref="C4:O4" si="1">C31-C8</f>
        <v>3358.6499999999996</v>
      </c>
      <c r="D4" s="7">
        <f t="shared" si="1"/>
        <v>423.28999999999996</v>
      </c>
      <c r="E4" s="7">
        <f t="shared" si="1"/>
        <v>-2947.2299999999996</v>
      </c>
      <c r="F4" s="7">
        <f t="shared" si="1"/>
        <v>-2943.9800000000005</v>
      </c>
      <c r="G4" s="7">
        <f t="shared" si="1"/>
        <v>-2102.0699999999997</v>
      </c>
      <c r="H4" s="7">
        <f t="shared" si="1"/>
        <v>-2040.55</v>
      </c>
      <c r="I4" s="7">
        <f t="shared" si="1"/>
        <v>-2040.55</v>
      </c>
      <c r="J4" s="7">
        <f t="shared" si="1"/>
        <v>-1732.78</v>
      </c>
      <c r="K4" s="7">
        <f t="shared" si="1"/>
        <v>-1732.78</v>
      </c>
      <c r="L4" s="7">
        <f t="shared" si="1"/>
        <v>-1687.8500000000001</v>
      </c>
      <c r="M4" s="7">
        <f t="shared" si="1"/>
        <v>-1687.8500000000001</v>
      </c>
      <c r="N4" s="7">
        <f t="shared" si="1"/>
        <v>-1687.8500000000001</v>
      </c>
      <c r="O4" s="7">
        <f t="shared" si="1"/>
        <v>-1565.78</v>
      </c>
    </row>
    <row r="5" spans="1:15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t="s">
        <v>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s="2" customFormat="1" x14ac:dyDescent="0.25">
      <c r="A7" s="2" t="s">
        <v>10</v>
      </c>
      <c r="B7" s="7"/>
      <c r="C7" s="7">
        <f>B8+C8</f>
        <v>1269.68</v>
      </c>
      <c r="D7" s="7">
        <f>C7+D8</f>
        <v>4108.9800000000005</v>
      </c>
      <c r="E7" s="7">
        <f>D7+E8</f>
        <v>7056.21</v>
      </c>
      <c r="F7" s="7">
        <f t="shared" ref="F7" si="2">E7+F8</f>
        <v>10000.19</v>
      </c>
      <c r="G7" s="7">
        <f>F7+G8</f>
        <v>12102.26</v>
      </c>
      <c r="H7" s="7">
        <f t="shared" ref="H7" si="3">G7+H8</f>
        <v>14142.81</v>
      </c>
      <c r="I7" s="7">
        <f>H7+I8</f>
        <v>16183.359999999999</v>
      </c>
      <c r="J7" s="7">
        <f>I7+J8</f>
        <v>17916.14</v>
      </c>
      <c r="K7" s="7">
        <f t="shared" ref="K7:O7" si="4">J7+K8</f>
        <v>19648.919999999998</v>
      </c>
      <c r="L7" s="7">
        <f t="shared" si="4"/>
        <v>21336.769999999997</v>
      </c>
      <c r="M7" s="7">
        <f t="shared" si="4"/>
        <v>23024.619999999995</v>
      </c>
      <c r="N7" s="7">
        <f t="shared" si="4"/>
        <v>24712.469999999994</v>
      </c>
      <c r="O7" s="7">
        <f t="shared" si="4"/>
        <v>26278.249999999993</v>
      </c>
    </row>
    <row r="8" spans="1:15" s="5" customFormat="1" x14ac:dyDescent="0.25">
      <c r="A8" s="5" t="s">
        <v>9</v>
      </c>
      <c r="B8" s="9">
        <f t="shared" ref="B8:D8" si="5">SUM(B9,B17,B14,B18,B21,B27)</f>
        <v>156.56</v>
      </c>
      <c r="C8" s="9">
        <f t="shared" si="5"/>
        <v>1113.1200000000001</v>
      </c>
      <c r="D8" s="9">
        <f t="shared" si="5"/>
        <v>2839.3</v>
      </c>
      <c r="E8" s="9">
        <f>SUM(E9,E17,E14,E18,E21,E27)</f>
        <v>2947.2299999999996</v>
      </c>
      <c r="F8" s="9">
        <f t="shared" ref="F8:O8" si="6">SUM(F9,F17,F14,F18,F21,F27)</f>
        <v>2943.9800000000005</v>
      </c>
      <c r="G8" s="9">
        <f t="shared" si="6"/>
        <v>2102.0699999999997</v>
      </c>
      <c r="H8" s="9">
        <f t="shared" si="6"/>
        <v>2040.55</v>
      </c>
      <c r="I8" s="9">
        <f t="shared" si="6"/>
        <v>2040.55</v>
      </c>
      <c r="J8" s="9">
        <f t="shared" si="6"/>
        <v>1732.78</v>
      </c>
      <c r="K8" s="9">
        <f t="shared" si="6"/>
        <v>1732.78</v>
      </c>
      <c r="L8" s="9">
        <f t="shared" si="6"/>
        <v>1687.8500000000001</v>
      </c>
      <c r="M8" s="9">
        <f t="shared" si="6"/>
        <v>1687.8500000000001</v>
      </c>
      <c r="N8" s="9">
        <f t="shared" si="6"/>
        <v>1687.8500000000001</v>
      </c>
      <c r="O8" s="9">
        <f t="shared" si="6"/>
        <v>1565.78</v>
      </c>
    </row>
    <row r="9" spans="1:15" s="2" customFormat="1" x14ac:dyDescent="0.25">
      <c r="A9" s="2" t="s">
        <v>1</v>
      </c>
      <c r="B9" s="7">
        <f>SUM(B10,B11,B12,B13)</f>
        <v>0</v>
      </c>
      <c r="C9" s="7">
        <f>SUM(C10,C11,C12,C13)</f>
        <v>0</v>
      </c>
      <c r="D9" s="7">
        <f t="shared" ref="D9:F9" si="7">SUM(D10,D11,D12,D13)</f>
        <v>1221.52</v>
      </c>
      <c r="E9" s="7">
        <f t="shared" si="7"/>
        <v>926.04</v>
      </c>
      <c r="F9" s="7">
        <f t="shared" si="7"/>
        <v>922.79000000000008</v>
      </c>
      <c r="G9" s="7">
        <f>SUM(G10,G11,G12,G13)</f>
        <v>527.16</v>
      </c>
      <c r="H9" s="7">
        <f t="shared" ref="H9:I9" si="8">SUM(H10,H11,H12,H13)</f>
        <v>465.64</v>
      </c>
      <c r="I9" s="7">
        <f t="shared" si="8"/>
        <v>465.64</v>
      </c>
      <c r="J9" s="7">
        <f>SUM(J10,J11,J12,J13)</f>
        <v>362.81</v>
      </c>
      <c r="K9" s="7">
        <f t="shared" ref="K9:O9" si="9">SUM(K10,K11,K12,K13)</f>
        <v>362.81</v>
      </c>
      <c r="L9" s="7">
        <f t="shared" si="9"/>
        <v>317.88</v>
      </c>
      <c r="M9" s="7">
        <f t="shared" si="9"/>
        <v>317.88</v>
      </c>
      <c r="N9" s="7">
        <f t="shared" si="9"/>
        <v>317.88</v>
      </c>
      <c r="O9" s="7">
        <f t="shared" si="9"/>
        <v>195.81</v>
      </c>
    </row>
    <row r="10" spans="1:15" x14ac:dyDescent="0.25">
      <c r="A10" t="s">
        <v>2</v>
      </c>
      <c r="B10" s="8"/>
      <c r="C10" s="8"/>
      <c r="D10" s="8"/>
      <c r="E10" s="8">
        <f>SUMIF(Planilha2!$E:$E,"Santander.2",Planilha2!$D:$D)</f>
        <v>0</v>
      </c>
      <c r="F10" s="8">
        <f>SUMIF(Planilha2!$E:$E,"Santander.3",Planilha2!$D:$D)</f>
        <v>0</v>
      </c>
      <c r="G10" s="8">
        <f>SUMIF(Planilha2!$E:$E,"Santander.4",Planilha2!$D:$D)</f>
        <v>0</v>
      </c>
      <c r="H10" s="8">
        <f>SUMIF(Planilha2!$E:$E,"Santander.5",Planilha2!$D:$D)</f>
        <v>0</v>
      </c>
      <c r="I10" s="8">
        <f>SUMIF(Planilha2!$E:$E,"Santander.6",Planilha2!$D:$D)</f>
        <v>0</v>
      </c>
      <c r="J10" s="8">
        <f>SUMIF(Planilha2!$E:$E,"Santander.7",Planilha2!$D:$D)</f>
        <v>0</v>
      </c>
      <c r="K10" s="8">
        <f>SUMIF(Planilha2!$E:$E,"Santander.8",Planilha2!$D:$D)</f>
        <v>0</v>
      </c>
      <c r="L10" s="8">
        <f>SUMIF(Planilha2!$E:$E,"Santander.9",Planilha2!$D:$D)</f>
        <v>0</v>
      </c>
      <c r="M10" s="8">
        <f>SUMIF(Planilha2!$E:$E,"Santander.10",Planilha2!$D:$D)</f>
        <v>0</v>
      </c>
      <c r="N10" s="8">
        <f>SUMIF(Planilha2!$E:$E,"Santander.11",Planilha2!$D:$D)</f>
        <v>0</v>
      </c>
      <c r="O10" s="8">
        <f>SUMIF(Planilha2!$E:$E,"Santander.12",Planilha2!$D:$D)</f>
        <v>0</v>
      </c>
    </row>
    <row r="11" spans="1:15" x14ac:dyDescent="0.25">
      <c r="A11" t="s">
        <v>3</v>
      </c>
      <c r="B11" s="8"/>
      <c r="C11" s="8"/>
      <c r="D11" s="11">
        <v>490</v>
      </c>
      <c r="E11" s="8">
        <v>623.38</v>
      </c>
      <c r="F11" s="8">
        <f>SUMIF(Planilha2!$E:$E,"Crt. Itaú.3",Planilha2!$D:$D)</f>
        <v>620.13000000000011</v>
      </c>
      <c r="G11" s="8">
        <f>SUMIF(Planilha2!$E:$E,"Crt. Itaú.4",Planilha2!$D:$D)</f>
        <v>224.5</v>
      </c>
      <c r="H11" s="8">
        <f>SUMIF(Planilha2!$E:$E,"Crt. Itaú.5",Planilha2!$D:$D)</f>
        <v>162.98000000000002</v>
      </c>
      <c r="I11" s="8">
        <f>SUMIF(Planilha2!$E:$E,"Crt. Itaú.6",Planilha2!$D:$D)</f>
        <v>162.98000000000002</v>
      </c>
      <c r="J11" s="8">
        <f>SUMIF(Planilha2!$E:$E,"Crt. Itaú.7",Planilha2!$D:$D)</f>
        <v>147.87</v>
      </c>
      <c r="K11" s="8">
        <f>SUMIF(Planilha2!$E:$E,"Crt. Itaú.8",Planilha2!$D:$D)</f>
        <v>147.87</v>
      </c>
      <c r="L11" s="8">
        <f>SUMIF(Planilha2!$E:$E,"Crt. Itaú.9",Planilha2!$D:$D)</f>
        <v>102.94</v>
      </c>
      <c r="M11" s="8">
        <f>SUMIF(Planilha2!$E:$E,"Crt. Itaú.10",Planilha2!$D:$D)</f>
        <v>102.94</v>
      </c>
      <c r="N11" s="8">
        <f>SUMIF(Planilha2!$E:$E,"Crt. Itaú.11",Planilha2!$D:$D)</f>
        <v>102.94</v>
      </c>
      <c r="O11" s="8">
        <f>SUMIF(Planilha2!$E:$E,"Crt. Itaú.12",Planilha2!$D:$D)</f>
        <v>0</v>
      </c>
    </row>
    <row r="12" spans="1:15" x14ac:dyDescent="0.25">
      <c r="A12" t="s">
        <v>4</v>
      </c>
      <c r="B12" s="8"/>
      <c r="C12" s="8"/>
      <c r="D12" s="11">
        <v>127.82</v>
      </c>
      <c r="E12" s="8">
        <f>SUMIF(Planilha2!$E:$E,"Crt. MP CA.2",Planilha2!$D:$D)</f>
        <v>283.52999999999997</v>
      </c>
      <c r="F12" s="8">
        <f>SUMIF(Planilha2!$E:$E,"Crt. MP CA.3",Planilha2!$D:$D)</f>
        <v>283.52999999999997</v>
      </c>
      <c r="G12" s="8">
        <f>SUMIF(Planilha2!$E:$E,"Crt. MP CA.4",Planilha2!$D:$D)</f>
        <v>283.52999999999997</v>
      </c>
      <c r="H12" s="8">
        <f>SUMIF(Planilha2!$E:$E,"Crt. MP CA.5",Planilha2!$D:$D)</f>
        <v>283.52999999999997</v>
      </c>
      <c r="I12" s="8">
        <f>SUMIF(Planilha2!$E:$E,"Crt. MP CA.6",Planilha2!$D:$D)</f>
        <v>283.52999999999997</v>
      </c>
      <c r="J12" s="8">
        <f>SUMIF(Planilha2!$E:$E,"Crt. MP CA.7",Planilha2!$D:$D)</f>
        <v>195.81</v>
      </c>
      <c r="K12" s="8">
        <f>SUMIF(Planilha2!$E:$E,"Crt. MP CA.8",Planilha2!$D:$D)</f>
        <v>195.81</v>
      </c>
      <c r="L12" s="8">
        <f>SUMIF(Planilha2!$E:$E,"Crt. MP CA.9",Planilha2!$D:$D)</f>
        <v>195.81</v>
      </c>
      <c r="M12" s="8">
        <f>SUMIF(Planilha2!$E:$E,"Crt. MP CA.10",Planilha2!$D:$D)</f>
        <v>195.81</v>
      </c>
      <c r="N12" s="8">
        <f>SUMIF(Planilha2!$E:$E,"Crt. MP CA.11",Planilha2!$D:$D)</f>
        <v>195.81</v>
      </c>
      <c r="O12" s="8">
        <f>SUMIF(Planilha2!$E:$E,"Crt. MP CA.12",Planilha2!$D:$D)</f>
        <v>195.81</v>
      </c>
    </row>
    <row r="13" spans="1:15" x14ac:dyDescent="0.25">
      <c r="A13" t="s">
        <v>5</v>
      </c>
      <c r="B13" s="8"/>
      <c r="C13" s="8"/>
      <c r="D13" s="11">
        <v>603.70000000000005</v>
      </c>
      <c r="E13" s="8">
        <f>SUMIF(Planilha2!$E:$E,"Crt. MP MA.2",Planilha2!$D:$D)</f>
        <v>19.13</v>
      </c>
      <c r="F13" s="8">
        <f>SUMIF(Planilha2!$E:$E,"Crt. MP MA.3",Planilha2!$D:$D)</f>
        <v>19.13</v>
      </c>
      <c r="G13" s="8">
        <f>SUMIF(Planilha2!$E:$E,"Crt. MP MA.4",Planilha2!$D:$D)</f>
        <v>19.13</v>
      </c>
      <c r="H13" s="8">
        <f>SUMIF(Planilha2!$E:$E,"Crt. MP MA.5",Planilha2!$D:$D)</f>
        <v>19.13</v>
      </c>
      <c r="I13" s="8">
        <f>SUMIF(Planilha2!$E:$E,"Crt. MP MA.6",Planilha2!$D:$D)</f>
        <v>19.13</v>
      </c>
      <c r="J13" s="8">
        <f>SUMIF(Planilha2!$E:$E,"Crt. MP MA.7",Planilha2!$D:$D)</f>
        <v>19.13</v>
      </c>
      <c r="K13" s="8">
        <f>SUMIF(Planilha2!$E:$E,"Crt. MP MA.8",Planilha2!$D:$D)</f>
        <v>19.13</v>
      </c>
      <c r="L13" s="8">
        <f>SUMIF(Planilha2!$E:$E,"Crt. MP MA.9",Planilha2!$D:$D)</f>
        <v>19.13</v>
      </c>
      <c r="M13" s="8">
        <f>SUMIF(Planilha2!$E:$E,"Crt. MP MA.10",Planilha2!$D:$D)</f>
        <v>19.13</v>
      </c>
      <c r="N13" s="8">
        <f>SUMIF(Planilha2!$E:$E,"Crt. MP MA.11",Planilha2!$D:$D)</f>
        <v>19.13</v>
      </c>
      <c r="O13" s="8">
        <f>SUMIF(Planilha2!$E:$E,"Crt. MP MA.12",Planilha2!$D:$D)</f>
        <v>0</v>
      </c>
    </row>
    <row r="14" spans="1:15" s="2" customFormat="1" x14ac:dyDescent="0.25">
      <c r="A14" s="2" t="s">
        <v>11</v>
      </c>
      <c r="B14" s="7"/>
      <c r="C14" s="7"/>
      <c r="D14" s="7">
        <f>SUM(D15,D16,D17)</f>
        <v>660.12</v>
      </c>
      <c r="E14" s="7">
        <f t="shared" ref="E14:I14" si="10">SUM(E15,E16,E17)</f>
        <v>883.26</v>
      </c>
      <c r="F14" s="7">
        <f t="shared" si="10"/>
        <v>883.26</v>
      </c>
      <c r="G14" s="7">
        <f t="shared" si="10"/>
        <v>660.12</v>
      </c>
      <c r="H14" s="7">
        <f t="shared" si="10"/>
        <v>660.12</v>
      </c>
      <c r="I14" s="7">
        <f t="shared" si="10"/>
        <v>660.12</v>
      </c>
      <c r="J14" s="7">
        <f>SUM(J15,J16,J17)</f>
        <v>660.12</v>
      </c>
      <c r="K14" s="7">
        <f t="shared" ref="K14:O14" si="11">SUM(K15,K16,K17)</f>
        <v>660.12</v>
      </c>
      <c r="L14" s="7">
        <f t="shared" si="11"/>
        <v>660.12</v>
      </c>
      <c r="M14" s="7">
        <f t="shared" si="11"/>
        <v>660.12</v>
      </c>
      <c r="N14" s="7">
        <f t="shared" si="11"/>
        <v>660.12</v>
      </c>
      <c r="O14" s="7">
        <f t="shared" si="11"/>
        <v>660.12</v>
      </c>
    </row>
    <row r="15" spans="1:15" x14ac:dyDescent="0.25">
      <c r="A15" t="s">
        <v>12</v>
      </c>
      <c r="B15" s="8"/>
      <c r="C15" s="8"/>
      <c r="D15" s="11">
        <v>404.89</v>
      </c>
      <c r="E15" s="8">
        <v>404.89</v>
      </c>
      <c r="F15" s="8">
        <v>404.89</v>
      </c>
      <c r="G15" s="8">
        <v>404.89</v>
      </c>
      <c r="H15" s="8">
        <v>404.89</v>
      </c>
      <c r="I15" s="8">
        <v>404.89</v>
      </c>
      <c r="J15" s="8">
        <v>404.89</v>
      </c>
      <c r="K15" s="8">
        <v>404.89</v>
      </c>
      <c r="L15" s="8">
        <v>404.89</v>
      </c>
      <c r="M15" s="8">
        <v>404.89</v>
      </c>
      <c r="N15" s="8">
        <v>404.89</v>
      </c>
      <c r="O15" s="8">
        <v>404.89</v>
      </c>
    </row>
    <row r="16" spans="1:15" x14ac:dyDescent="0.25">
      <c r="A16" t="s">
        <v>13</v>
      </c>
      <c r="B16" s="8"/>
      <c r="C16" s="8"/>
      <c r="D16" s="11">
        <v>255.23</v>
      </c>
      <c r="E16" s="8">
        <v>255.23</v>
      </c>
      <c r="F16" s="8">
        <v>255.23</v>
      </c>
      <c r="G16" s="8">
        <v>255.23</v>
      </c>
      <c r="H16" s="8">
        <v>255.23</v>
      </c>
      <c r="I16" s="8">
        <v>255.23</v>
      </c>
      <c r="J16" s="8">
        <v>255.23</v>
      </c>
      <c r="K16" s="8">
        <v>255.23</v>
      </c>
      <c r="L16" s="8">
        <v>255.23</v>
      </c>
      <c r="M16" s="8">
        <v>255.23</v>
      </c>
      <c r="N16" s="8">
        <v>255.23</v>
      </c>
      <c r="O16" s="8">
        <v>255.23</v>
      </c>
    </row>
    <row r="17" spans="1:15" x14ac:dyDescent="0.25">
      <c r="A17" t="s">
        <v>50</v>
      </c>
      <c r="B17" s="8"/>
      <c r="C17" s="8"/>
      <c r="D17" s="8">
        <v>0</v>
      </c>
      <c r="E17" s="8">
        <v>223.14</v>
      </c>
      <c r="F17" s="8">
        <v>223.14</v>
      </c>
      <c r="G17" s="11"/>
      <c r="H17" s="11"/>
      <c r="I17" s="11"/>
      <c r="J17" s="11"/>
      <c r="K17" s="11"/>
      <c r="L17" s="11"/>
      <c r="M17" s="11"/>
      <c r="N17" s="11"/>
      <c r="O17" s="11"/>
    </row>
    <row r="18" spans="1:15" s="2" customFormat="1" ht="14.25" customHeight="1" x14ac:dyDescent="0.25">
      <c r="A18" s="2" t="s">
        <v>56</v>
      </c>
      <c r="B18" s="7"/>
      <c r="C18" s="10">
        <f>SUM(C19,C20)</f>
        <v>0</v>
      </c>
      <c r="D18" s="10">
        <f t="shared" ref="D18:O18" si="12">SUM(D19,D20)</f>
        <v>515.45000000000005</v>
      </c>
      <c r="E18" s="10">
        <f t="shared" si="12"/>
        <v>505.8</v>
      </c>
      <c r="F18" s="10">
        <f t="shared" si="12"/>
        <v>505.8</v>
      </c>
      <c r="G18" s="10">
        <f t="shared" si="12"/>
        <v>505.8</v>
      </c>
      <c r="H18" s="10">
        <f t="shared" si="12"/>
        <v>505.8</v>
      </c>
      <c r="I18" s="10">
        <f t="shared" si="12"/>
        <v>505.8</v>
      </c>
      <c r="J18" s="10">
        <f t="shared" si="12"/>
        <v>300.86</v>
      </c>
      <c r="K18" s="10">
        <f t="shared" si="12"/>
        <v>300.86</v>
      </c>
      <c r="L18" s="10">
        <f t="shared" si="12"/>
        <v>300.86</v>
      </c>
      <c r="M18" s="10">
        <f t="shared" si="12"/>
        <v>300.86</v>
      </c>
      <c r="N18" s="10">
        <f t="shared" si="12"/>
        <v>300.86</v>
      </c>
      <c r="O18" s="10">
        <f t="shared" si="12"/>
        <v>300.86</v>
      </c>
    </row>
    <row r="19" spans="1:15" s="2" customFormat="1" ht="14.25" customHeight="1" x14ac:dyDescent="0.25">
      <c r="A19" t="s">
        <v>57</v>
      </c>
      <c r="B19" s="8"/>
      <c r="C19" s="15"/>
      <c r="D19" s="11">
        <v>310.51</v>
      </c>
      <c r="E19" s="8">
        <v>300.86</v>
      </c>
      <c r="F19" s="8">
        <v>300.86</v>
      </c>
      <c r="G19" s="8">
        <v>300.86</v>
      </c>
      <c r="H19" s="8">
        <v>300.86</v>
      </c>
      <c r="I19" s="8">
        <v>300.86</v>
      </c>
      <c r="J19" s="8">
        <v>300.86</v>
      </c>
      <c r="K19" s="8">
        <v>300.86</v>
      </c>
      <c r="L19" s="8">
        <v>300.86</v>
      </c>
      <c r="M19" s="8">
        <v>300.86</v>
      </c>
      <c r="N19" s="8">
        <v>300.86</v>
      </c>
      <c r="O19" s="8">
        <v>300.86</v>
      </c>
    </row>
    <row r="20" spans="1:15" s="2" customFormat="1" ht="14.25" customHeight="1" x14ac:dyDescent="0.25">
      <c r="A20" t="s">
        <v>58</v>
      </c>
      <c r="B20" s="8"/>
      <c r="C20" s="15"/>
      <c r="D20" s="11">
        <v>204.94</v>
      </c>
      <c r="E20" s="8">
        <v>204.94</v>
      </c>
      <c r="F20" s="8">
        <v>204.94</v>
      </c>
      <c r="G20" s="8">
        <v>204.94</v>
      </c>
      <c r="H20" s="8">
        <v>204.94</v>
      </c>
      <c r="I20" s="8">
        <v>204.94</v>
      </c>
      <c r="J20" s="8"/>
      <c r="K20" s="8"/>
      <c r="L20" s="8"/>
      <c r="M20" s="8"/>
      <c r="N20" s="8"/>
      <c r="O20" s="8"/>
    </row>
    <row r="21" spans="1:15" s="2" customFormat="1" x14ac:dyDescent="0.25">
      <c r="A21" s="2" t="s">
        <v>6</v>
      </c>
      <c r="B21" s="7">
        <f>SUM(B22,B23,B24,B25)</f>
        <v>156.56</v>
      </c>
      <c r="C21" s="7">
        <f>SUM(C22,C23,C24,C25,C26)</f>
        <v>1113.1200000000001</v>
      </c>
      <c r="D21" s="7">
        <f t="shared" ref="D21:O21" si="13">SUM(D22,D23,D24,D25,D26)</f>
        <v>442.21</v>
      </c>
      <c r="E21" s="7">
        <f t="shared" si="13"/>
        <v>408.99</v>
      </c>
      <c r="F21" s="7">
        <f t="shared" si="13"/>
        <v>408.99</v>
      </c>
      <c r="G21" s="7">
        <f t="shared" si="13"/>
        <v>408.99</v>
      </c>
      <c r="H21" s="7">
        <f t="shared" si="13"/>
        <v>408.99</v>
      </c>
      <c r="I21" s="7">
        <f t="shared" si="13"/>
        <v>408.99</v>
      </c>
      <c r="J21" s="7">
        <f t="shared" si="13"/>
        <v>408.99</v>
      </c>
      <c r="K21" s="7">
        <f t="shared" si="13"/>
        <v>408.99</v>
      </c>
      <c r="L21" s="7">
        <f t="shared" si="13"/>
        <v>408.99</v>
      </c>
      <c r="M21" s="7">
        <f t="shared" si="13"/>
        <v>408.99</v>
      </c>
      <c r="N21" s="7">
        <f t="shared" si="13"/>
        <v>408.99</v>
      </c>
      <c r="O21" s="7">
        <f t="shared" si="13"/>
        <v>408.99</v>
      </c>
    </row>
    <row r="22" spans="1:15" x14ac:dyDescent="0.25">
      <c r="A22" t="s">
        <v>7</v>
      </c>
      <c r="B22" s="8">
        <v>156.56</v>
      </c>
      <c r="C22" s="11">
        <v>133.09</v>
      </c>
      <c r="D22" s="8">
        <v>133.09</v>
      </c>
      <c r="E22" s="14">
        <v>133.09</v>
      </c>
      <c r="F22" s="14">
        <v>133.09</v>
      </c>
      <c r="G22" s="14">
        <v>133.09</v>
      </c>
      <c r="H22" s="14">
        <v>133.09</v>
      </c>
      <c r="I22" s="14">
        <v>133.09</v>
      </c>
      <c r="J22" s="14">
        <v>133.09</v>
      </c>
      <c r="K22" s="14">
        <v>133.09</v>
      </c>
      <c r="L22" s="14">
        <v>133.09</v>
      </c>
      <c r="M22" s="14">
        <v>133.09</v>
      </c>
      <c r="N22" s="14">
        <v>133.09</v>
      </c>
      <c r="O22" s="14">
        <v>133.09</v>
      </c>
    </row>
    <row r="23" spans="1:15" x14ac:dyDescent="0.25">
      <c r="A23" t="s">
        <v>8</v>
      </c>
      <c r="B23" s="11"/>
      <c r="C23" s="11">
        <f>237.75+196.38</f>
        <v>434.13</v>
      </c>
      <c r="D23" s="8">
        <v>213.22</v>
      </c>
      <c r="E23" s="14">
        <v>180</v>
      </c>
      <c r="F23" s="14">
        <v>180</v>
      </c>
      <c r="G23" s="14">
        <v>180</v>
      </c>
      <c r="H23" s="14">
        <v>180</v>
      </c>
      <c r="I23" s="14">
        <v>180</v>
      </c>
      <c r="J23" s="14">
        <v>180</v>
      </c>
      <c r="K23" s="14">
        <v>180</v>
      </c>
      <c r="L23" s="14">
        <v>180</v>
      </c>
      <c r="M23" s="14">
        <v>180</v>
      </c>
      <c r="N23" s="14">
        <v>180</v>
      </c>
      <c r="O23" s="14">
        <v>180</v>
      </c>
    </row>
    <row r="24" spans="1:15" x14ac:dyDescent="0.25">
      <c r="A24" t="s">
        <v>51</v>
      </c>
      <c r="B24" s="8"/>
      <c r="C24" s="11">
        <v>75</v>
      </c>
      <c r="D24" s="8">
        <v>75</v>
      </c>
      <c r="E24" s="8">
        <v>75</v>
      </c>
      <c r="F24" s="8">
        <v>75</v>
      </c>
      <c r="G24" s="8">
        <v>75</v>
      </c>
      <c r="H24" s="8">
        <v>75</v>
      </c>
      <c r="I24" s="8">
        <v>75</v>
      </c>
      <c r="J24" s="8">
        <v>75</v>
      </c>
      <c r="K24" s="8">
        <v>75</v>
      </c>
      <c r="L24" s="8">
        <v>75</v>
      </c>
      <c r="M24" s="8">
        <v>75</v>
      </c>
      <c r="N24" s="8">
        <v>75</v>
      </c>
      <c r="O24" s="8">
        <v>75</v>
      </c>
    </row>
    <row r="25" spans="1:15" x14ac:dyDescent="0.25">
      <c r="A25" t="s">
        <v>151</v>
      </c>
      <c r="B25" s="8"/>
      <c r="C25" s="11">
        <v>450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t="s">
        <v>169</v>
      </c>
      <c r="B26" s="8"/>
      <c r="C26" s="11">
        <v>20.9</v>
      </c>
      <c r="D26" s="11">
        <v>20.9</v>
      </c>
      <c r="E26" s="8">
        <v>20.9</v>
      </c>
      <c r="F26" s="8">
        <v>20.9</v>
      </c>
      <c r="G26" s="8">
        <v>20.9</v>
      </c>
      <c r="H26" s="8">
        <v>20.9</v>
      </c>
      <c r="I26" s="8">
        <v>20.9</v>
      </c>
      <c r="J26" s="8">
        <v>20.9</v>
      </c>
      <c r="K26" s="8">
        <v>20.9</v>
      </c>
      <c r="L26" s="8">
        <v>20.9</v>
      </c>
      <c r="M26" s="8">
        <v>20.9</v>
      </c>
      <c r="N26" s="8">
        <v>20.9</v>
      </c>
      <c r="O26" s="8">
        <v>20.9</v>
      </c>
    </row>
    <row r="27" spans="1:15" s="2" customFormat="1" x14ac:dyDescent="0.25">
      <c r="A27" s="2" t="s">
        <v>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7.5" customHeight="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t="s">
        <v>15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2" customFormat="1" x14ac:dyDescent="0.25">
      <c r="A30" s="2" t="s">
        <v>10</v>
      </c>
      <c r="B30" s="7"/>
      <c r="C30" s="7">
        <f>C31</f>
        <v>4471.7699999999995</v>
      </c>
      <c r="D30" s="7">
        <f>C30+D31</f>
        <v>7734.36</v>
      </c>
      <c r="E30" s="7">
        <f>D30+E31</f>
        <v>7734.36</v>
      </c>
      <c r="F30" s="7">
        <f>E30+F31</f>
        <v>7734.36</v>
      </c>
      <c r="G30" s="7">
        <f>F30+G31</f>
        <v>7734.36</v>
      </c>
      <c r="H30" s="7">
        <f t="shared" ref="H30:I30" si="14">G30+H31</f>
        <v>7734.36</v>
      </c>
      <c r="I30" s="7">
        <f t="shared" si="14"/>
        <v>7734.36</v>
      </c>
      <c r="J30" s="7">
        <f>I30+J31</f>
        <v>7734.36</v>
      </c>
      <c r="K30" s="7">
        <f t="shared" ref="K30:N30" si="15">J30+K31</f>
        <v>7734.36</v>
      </c>
      <c r="L30" s="7">
        <f t="shared" si="15"/>
        <v>7734.36</v>
      </c>
      <c r="M30" s="7">
        <f t="shared" si="15"/>
        <v>7734.36</v>
      </c>
      <c r="N30" s="7">
        <f t="shared" si="15"/>
        <v>7734.36</v>
      </c>
      <c r="O30" s="7">
        <f>N30+O31</f>
        <v>7734.36</v>
      </c>
    </row>
    <row r="31" spans="1:15" s="6" customFormat="1" x14ac:dyDescent="0.25">
      <c r="A31" s="6" t="s">
        <v>16</v>
      </c>
      <c r="B31" s="12"/>
      <c r="C31" s="12">
        <f>SUM(C32,C37,C38)</f>
        <v>4471.7699999999995</v>
      </c>
      <c r="D31" s="12">
        <f>SUM(D32,D37,D38)</f>
        <v>3262.59</v>
      </c>
      <c r="E31" s="12">
        <f>SUM(E32,E37,E38)</f>
        <v>0</v>
      </c>
      <c r="F31" s="12">
        <f t="shared" ref="F31:N31" si="16">SUM(F32,F37,F38)</f>
        <v>0</v>
      </c>
      <c r="G31" s="12">
        <f t="shared" si="16"/>
        <v>0</v>
      </c>
      <c r="H31" s="12">
        <f t="shared" si="16"/>
        <v>0</v>
      </c>
      <c r="I31" s="12">
        <f t="shared" si="16"/>
        <v>0</v>
      </c>
      <c r="J31" s="12">
        <f t="shared" si="16"/>
        <v>0</v>
      </c>
      <c r="K31" s="12">
        <f t="shared" si="16"/>
        <v>0</v>
      </c>
      <c r="L31" s="12">
        <f t="shared" si="16"/>
        <v>0</v>
      </c>
      <c r="M31" s="12">
        <f t="shared" si="16"/>
        <v>0</v>
      </c>
      <c r="N31" s="12">
        <f t="shared" si="16"/>
        <v>0</v>
      </c>
      <c r="O31" s="12">
        <f>SUM(O32,O37,O38)</f>
        <v>0</v>
      </c>
    </row>
    <row r="32" spans="1:15" s="2" customFormat="1" x14ac:dyDescent="0.25">
      <c r="A32" s="2" t="s">
        <v>49</v>
      </c>
      <c r="B32" s="7">
        <f>SUM(B34,B35)</f>
        <v>0</v>
      </c>
      <c r="C32" s="7">
        <f>SUM(C33,C34,C35,C36)</f>
        <v>4287.45</v>
      </c>
      <c r="D32" s="7">
        <f>SUM(D33,D34,D35,D36)</f>
        <v>2988.59</v>
      </c>
      <c r="E32" s="7">
        <f t="shared" ref="E32:O32" si="17">SUM(E33,E34,E35,E36)</f>
        <v>0</v>
      </c>
      <c r="F32" s="7">
        <f t="shared" si="17"/>
        <v>0</v>
      </c>
      <c r="G32" s="7">
        <f t="shared" si="17"/>
        <v>0</v>
      </c>
      <c r="H32" s="7">
        <f t="shared" si="17"/>
        <v>0</v>
      </c>
      <c r="I32" s="7">
        <f t="shared" si="17"/>
        <v>0</v>
      </c>
      <c r="J32" s="7">
        <f t="shared" si="17"/>
        <v>0</v>
      </c>
      <c r="K32" s="7">
        <f t="shared" si="17"/>
        <v>0</v>
      </c>
      <c r="L32" s="7">
        <f t="shared" si="17"/>
        <v>0</v>
      </c>
      <c r="M32" s="7">
        <f t="shared" si="17"/>
        <v>0</v>
      </c>
      <c r="N32" s="7">
        <f t="shared" si="17"/>
        <v>0</v>
      </c>
      <c r="O32" s="7">
        <f t="shared" si="17"/>
        <v>0</v>
      </c>
    </row>
    <row r="33" spans="1:15" s="2" customFormat="1" x14ac:dyDescent="0.25">
      <c r="A33" t="s">
        <v>48</v>
      </c>
      <c r="B33" s="7"/>
      <c r="C33" s="11">
        <v>2588.59</v>
      </c>
      <c r="D33" s="11">
        <v>2588.59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t="s">
        <v>59</v>
      </c>
      <c r="B34" s="8"/>
      <c r="C34" s="11">
        <v>1298.8599999999999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25">
      <c r="A35" t="s">
        <v>60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25">
      <c r="A36" t="s">
        <v>61</v>
      </c>
      <c r="B36" s="8"/>
      <c r="C36" s="11">
        <v>400</v>
      </c>
      <c r="D36" s="11">
        <v>400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s="2" customFormat="1" x14ac:dyDescent="0.25">
      <c r="A37" s="2" t="s">
        <v>17</v>
      </c>
      <c r="B37" s="7"/>
      <c r="C37" s="7"/>
      <c r="D37" s="13">
        <v>80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s="2" customFormat="1" x14ac:dyDescent="0.25">
      <c r="A38" s="2" t="s">
        <v>11</v>
      </c>
      <c r="B38" s="7"/>
      <c r="C38" s="13">
        <v>184.32</v>
      </c>
      <c r="D38" s="13">
        <v>194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676D-2BF9-4C07-9B48-2CEAEE2F9B6E}">
  <dimension ref="A1:E122"/>
  <sheetViews>
    <sheetView workbookViewId="0">
      <selection activeCell="C3" sqref="C3"/>
    </sheetView>
  </sheetViews>
  <sheetFormatPr defaultRowHeight="15" x14ac:dyDescent="0.25"/>
  <cols>
    <col min="1" max="1" width="13.7109375" bestFit="1" customWidth="1"/>
    <col min="2" max="2" width="11.7109375" style="4" bestFit="1" customWidth="1"/>
    <col min="3" max="3" width="26.7109375" bestFit="1" customWidth="1"/>
    <col min="5" max="5" width="12.42578125" bestFit="1" customWidth="1"/>
  </cols>
  <sheetData>
    <row r="1" spans="1:5" x14ac:dyDescent="0.25">
      <c r="A1" t="s">
        <v>21</v>
      </c>
    </row>
    <row r="2" spans="1:5" x14ac:dyDescent="0.25">
      <c r="A2" t="s">
        <v>44</v>
      </c>
      <c r="B2" s="4" t="s">
        <v>45</v>
      </c>
      <c r="C2" t="s">
        <v>46</v>
      </c>
      <c r="D2" t="s">
        <v>47</v>
      </c>
    </row>
    <row r="3" spans="1:5" x14ac:dyDescent="0.25">
      <c r="A3" s="3">
        <v>45634</v>
      </c>
      <c r="C3" t="s">
        <v>107</v>
      </c>
      <c r="D3">
        <v>53.55</v>
      </c>
      <c r="E3" t="s">
        <v>79</v>
      </c>
    </row>
    <row r="4" spans="1:5" x14ac:dyDescent="0.25">
      <c r="A4" s="3">
        <v>45634</v>
      </c>
      <c r="C4" t="s">
        <v>108</v>
      </c>
      <c r="D4">
        <v>53.55</v>
      </c>
      <c r="E4" t="s">
        <v>80</v>
      </c>
    </row>
    <row r="5" spans="1:5" x14ac:dyDescent="0.25">
      <c r="A5" s="3">
        <v>45634</v>
      </c>
      <c r="C5" t="s">
        <v>109</v>
      </c>
      <c r="D5">
        <v>53.55</v>
      </c>
      <c r="E5" t="s">
        <v>81</v>
      </c>
    </row>
    <row r="6" spans="1:5" x14ac:dyDescent="0.25">
      <c r="A6" s="3">
        <v>45634</v>
      </c>
      <c r="C6" t="s">
        <v>110</v>
      </c>
      <c r="D6">
        <v>53.55</v>
      </c>
      <c r="E6" t="s">
        <v>82</v>
      </c>
    </row>
    <row r="7" spans="1:5" x14ac:dyDescent="0.25">
      <c r="A7" s="3">
        <v>45634</v>
      </c>
      <c r="C7" t="s">
        <v>111</v>
      </c>
      <c r="D7">
        <v>53.55</v>
      </c>
      <c r="E7" t="s">
        <v>83</v>
      </c>
    </row>
    <row r="8" spans="1:5" x14ac:dyDescent="0.25">
      <c r="A8" s="3">
        <v>45801</v>
      </c>
      <c r="C8" t="s">
        <v>102</v>
      </c>
      <c r="D8">
        <v>34.17</v>
      </c>
      <c r="E8" t="s">
        <v>79</v>
      </c>
    </row>
    <row r="9" spans="1:5" x14ac:dyDescent="0.25">
      <c r="A9" s="3">
        <v>45801</v>
      </c>
      <c r="C9" t="s">
        <v>103</v>
      </c>
      <c r="D9">
        <v>34.17</v>
      </c>
      <c r="E9" t="s">
        <v>80</v>
      </c>
    </row>
    <row r="10" spans="1:5" x14ac:dyDescent="0.25">
      <c r="A10" s="3">
        <v>45801</v>
      </c>
      <c r="C10" t="s">
        <v>104</v>
      </c>
      <c r="D10">
        <v>34.17</v>
      </c>
      <c r="E10" t="s">
        <v>81</v>
      </c>
    </row>
    <row r="11" spans="1:5" x14ac:dyDescent="0.25">
      <c r="A11" s="3">
        <v>45801</v>
      </c>
      <c r="C11" t="s">
        <v>105</v>
      </c>
      <c r="D11">
        <v>34.17</v>
      </c>
      <c r="E11" t="s">
        <v>82</v>
      </c>
    </row>
    <row r="12" spans="1:5" x14ac:dyDescent="0.25">
      <c r="A12" s="3">
        <v>45801</v>
      </c>
      <c r="C12" t="s">
        <v>106</v>
      </c>
      <c r="D12">
        <v>34.17</v>
      </c>
      <c r="E12" t="s">
        <v>83</v>
      </c>
    </row>
    <row r="13" spans="1:5" x14ac:dyDescent="0.25">
      <c r="A13" s="3">
        <v>45832</v>
      </c>
      <c r="C13" t="s">
        <v>123</v>
      </c>
      <c r="D13">
        <v>15.11</v>
      </c>
      <c r="E13" t="s">
        <v>33</v>
      </c>
    </row>
    <row r="14" spans="1:5" x14ac:dyDescent="0.25">
      <c r="A14" s="3">
        <v>45832</v>
      </c>
      <c r="C14" t="s">
        <v>124</v>
      </c>
      <c r="D14">
        <v>15.11</v>
      </c>
      <c r="E14" t="s">
        <v>34</v>
      </c>
    </row>
    <row r="15" spans="1:5" x14ac:dyDescent="0.25">
      <c r="A15" s="3">
        <v>45832</v>
      </c>
      <c r="C15" t="s">
        <v>125</v>
      </c>
      <c r="D15">
        <v>15.11</v>
      </c>
      <c r="E15" t="s">
        <v>35</v>
      </c>
    </row>
    <row r="16" spans="1:5" x14ac:dyDescent="0.25">
      <c r="A16" s="3">
        <v>45832</v>
      </c>
      <c r="C16" t="s">
        <v>126</v>
      </c>
      <c r="D16">
        <v>15.11</v>
      </c>
      <c r="E16" t="s">
        <v>36</v>
      </c>
    </row>
    <row r="17" spans="1:5" x14ac:dyDescent="0.25">
      <c r="A17" s="3">
        <v>45832</v>
      </c>
      <c r="C17" t="s">
        <v>127</v>
      </c>
      <c r="D17">
        <v>15.11</v>
      </c>
      <c r="E17" t="s">
        <v>37</v>
      </c>
    </row>
    <row r="18" spans="1:5" x14ac:dyDescent="0.25">
      <c r="A18" s="3">
        <v>45832</v>
      </c>
      <c r="C18" t="s">
        <v>128</v>
      </c>
      <c r="D18">
        <v>29.74</v>
      </c>
      <c r="E18" t="s">
        <v>33</v>
      </c>
    </row>
    <row r="19" spans="1:5" x14ac:dyDescent="0.25">
      <c r="A19" s="3">
        <v>45832</v>
      </c>
      <c r="C19" t="s">
        <v>129</v>
      </c>
      <c r="D19">
        <v>29.74</v>
      </c>
      <c r="E19" t="s">
        <v>34</v>
      </c>
    </row>
    <row r="20" spans="1:5" x14ac:dyDescent="0.25">
      <c r="A20" s="3">
        <v>45857</v>
      </c>
      <c r="C20" t="s">
        <v>130</v>
      </c>
      <c r="D20">
        <v>37.39</v>
      </c>
      <c r="E20" t="s">
        <v>33</v>
      </c>
    </row>
    <row r="21" spans="1:5" x14ac:dyDescent="0.25">
      <c r="A21" s="3">
        <v>45857</v>
      </c>
      <c r="C21" t="s">
        <v>131</v>
      </c>
      <c r="D21">
        <v>37.39</v>
      </c>
      <c r="E21" t="s">
        <v>34</v>
      </c>
    </row>
    <row r="22" spans="1:5" x14ac:dyDescent="0.25">
      <c r="A22" s="3">
        <v>45910</v>
      </c>
      <c r="C22" t="s">
        <v>91</v>
      </c>
      <c r="D22">
        <v>67.989999999999995</v>
      </c>
      <c r="E22" t="s">
        <v>79</v>
      </c>
    </row>
    <row r="23" spans="1:5" x14ac:dyDescent="0.25">
      <c r="A23" s="3">
        <v>45910</v>
      </c>
      <c r="C23" t="s">
        <v>92</v>
      </c>
      <c r="D23">
        <v>67.989999999999995</v>
      </c>
      <c r="E23" t="s">
        <v>80</v>
      </c>
    </row>
    <row r="24" spans="1:5" x14ac:dyDescent="0.25">
      <c r="A24" s="3">
        <v>45910</v>
      </c>
      <c r="B24" s="16" t="s">
        <v>90</v>
      </c>
      <c r="C24" t="s">
        <v>93</v>
      </c>
      <c r="D24">
        <v>67.989999999999995</v>
      </c>
      <c r="E24" t="s">
        <v>81</v>
      </c>
    </row>
    <row r="25" spans="1:5" x14ac:dyDescent="0.25">
      <c r="A25" s="3">
        <v>45910</v>
      </c>
      <c r="B25" s="16" t="s">
        <v>90</v>
      </c>
      <c r="C25" t="s">
        <v>96</v>
      </c>
      <c r="D25">
        <v>67.989999999999995</v>
      </c>
      <c r="E25" t="s">
        <v>82</v>
      </c>
    </row>
    <row r="26" spans="1:5" x14ac:dyDescent="0.25">
      <c r="A26" s="3">
        <v>45910</v>
      </c>
      <c r="B26" s="16" t="s">
        <v>90</v>
      </c>
      <c r="C26" t="s">
        <v>94</v>
      </c>
      <c r="D26">
        <v>67.989999999999995</v>
      </c>
      <c r="E26" t="s">
        <v>83</v>
      </c>
    </row>
    <row r="27" spans="1:5" x14ac:dyDescent="0.25">
      <c r="A27" s="3">
        <v>45910</v>
      </c>
      <c r="B27" s="16" t="s">
        <v>90</v>
      </c>
      <c r="C27" t="s">
        <v>95</v>
      </c>
      <c r="D27">
        <v>67.989999999999995</v>
      </c>
      <c r="E27" t="s">
        <v>84</v>
      </c>
    </row>
    <row r="28" spans="1:5" x14ac:dyDescent="0.25">
      <c r="A28" s="3">
        <v>45910</v>
      </c>
      <c r="B28" s="16" t="s">
        <v>90</v>
      </c>
      <c r="C28" t="s">
        <v>97</v>
      </c>
      <c r="D28">
        <v>67.989999999999995</v>
      </c>
      <c r="E28" t="s">
        <v>85</v>
      </c>
    </row>
    <row r="29" spans="1:5" x14ac:dyDescent="0.25">
      <c r="A29" s="3">
        <v>45910</v>
      </c>
      <c r="B29" s="16" t="s">
        <v>90</v>
      </c>
      <c r="C29" t="s">
        <v>98</v>
      </c>
      <c r="D29">
        <v>67.989999999999995</v>
      </c>
      <c r="E29" t="s">
        <v>86</v>
      </c>
    </row>
    <row r="30" spans="1:5" x14ac:dyDescent="0.25">
      <c r="A30" s="3">
        <v>45910</v>
      </c>
      <c r="B30" s="16" t="s">
        <v>90</v>
      </c>
      <c r="C30" t="s">
        <v>99</v>
      </c>
      <c r="D30">
        <v>67.989999999999995</v>
      </c>
      <c r="E30" t="s">
        <v>87</v>
      </c>
    </row>
    <row r="31" spans="1:5" x14ac:dyDescent="0.25">
      <c r="A31" s="3">
        <v>45910</v>
      </c>
      <c r="B31" s="16" t="s">
        <v>90</v>
      </c>
      <c r="C31" t="s">
        <v>100</v>
      </c>
      <c r="D31">
        <v>67.989999999999995</v>
      </c>
      <c r="E31" t="s">
        <v>88</v>
      </c>
    </row>
    <row r="32" spans="1:5" x14ac:dyDescent="0.25">
      <c r="A32" s="3">
        <v>45910</v>
      </c>
      <c r="B32" s="16" t="s">
        <v>90</v>
      </c>
      <c r="C32" t="s">
        <v>101</v>
      </c>
      <c r="D32">
        <v>67.989999999999995</v>
      </c>
      <c r="E32" t="s">
        <v>89</v>
      </c>
    </row>
    <row r="33" spans="1:5" x14ac:dyDescent="0.25">
      <c r="A33" s="3">
        <v>45922</v>
      </c>
      <c r="B33" s="16"/>
      <c r="C33" t="s">
        <v>132</v>
      </c>
      <c r="D33">
        <v>48.33</v>
      </c>
      <c r="E33" t="s">
        <v>33</v>
      </c>
    </row>
    <row r="34" spans="1:5" x14ac:dyDescent="0.25">
      <c r="A34" s="3">
        <v>45922</v>
      </c>
      <c r="B34" s="16"/>
      <c r="C34" t="s">
        <v>133</v>
      </c>
      <c r="D34">
        <v>48.33</v>
      </c>
      <c r="E34" t="s">
        <v>34</v>
      </c>
    </row>
    <row r="35" spans="1:5" x14ac:dyDescent="0.25">
      <c r="A35" s="3">
        <v>45925</v>
      </c>
      <c r="B35" s="16"/>
      <c r="C35" t="s">
        <v>134</v>
      </c>
      <c r="D35">
        <v>61.52</v>
      </c>
      <c r="E35" t="s">
        <v>33</v>
      </c>
    </row>
    <row r="36" spans="1:5" x14ac:dyDescent="0.25">
      <c r="A36" s="3">
        <v>45925</v>
      </c>
      <c r="B36" s="16"/>
      <c r="C36" t="s">
        <v>135</v>
      </c>
      <c r="D36">
        <v>61.52</v>
      </c>
      <c r="E36" t="s">
        <v>34</v>
      </c>
    </row>
    <row r="37" spans="1:5" x14ac:dyDescent="0.25">
      <c r="A37" s="3">
        <v>45925</v>
      </c>
      <c r="B37" s="16"/>
      <c r="C37" t="s">
        <v>136</v>
      </c>
      <c r="D37">
        <v>61.52</v>
      </c>
      <c r="E37" t="s">
        <v>35</v>
      </c>
    </row>
    <row r="38" spans="1:5" x14ac:dyDescent="0.25">
      <c r="A38" s="3">
        <v>45926</v>
      </c>
      <c r="B38" s="16"/>
      <c r="C38" t="s">
        <v>137</v>
      </c>
      <c r="D38">
        <v>16.79</v>
      </c>
      <c r="E38" t="s">
        <v>33</v>
      </c>
    </row>
    <row r="39" spans="1:5" x14ac:dyDescent="0.25">
      <c r="A39" s="3">
        <v>45926</v>
      </c>
      <c r="B39" s="16"/>
      <c r="C39" t="s">
        <v>138</v>
      </c>
      <c r="D39">
        <v>16.79</v>
      </c>
      <c r="E39" t="s">
        <v>34</v>
      </c>
    </row>
    <row r="40" spans="1:5" x14ac:dyDescent="0.25">
      <c r="A40" s="3">
        <v>45927</v>
      </c>
      <c r="B40" s="16"/>
      <c r="C40" t="s">
        <v>139</v>
      </c>
      <c r="D40">
        <v>44.93</v>
      </c>
      <c r="E40" t="s">
        <v>33</v>
      </c>
    </row>
    <row r="41" spans="1:5" x14ac:dyDescent="0.25">
      <c r="A41" s="3">
        <v>45927</v>
      </c>
      <c r="B41" s="16"/>
      <c r="C41" t="s">
        <v>140</v>
      </c>
      <c r="D41">
        <v>44.93</v>
      </c>
      <c r="E41" t="s">
        <v>34</v>
      </c>
    </row>
    <row r="42" spans="1:5" x14ac:dyDescent="0.25">
      <c r="A42" s="3">
        <v>45927</v>
      </c>
      <c r="B42" s="16"/>
      <c r="C42" t="s">
        <v>141</v>
      </c>
      <c r="D42">
        <v>44.93</v>
      </c>
      <c r="E42" t="s">
        <v>35</v>
      </c>
    </row>
    <row r="43" spans="1:5" x14ac:dyDescent="0.25">
      <c r="A43" s="3">
        <v>45927</v>
      </c>
      <c r="B43" s="16"/>
      <c r="C43" t="s">
        <v>142</v>
      </c>
      <c r="D43">
        <v>44.93</v>
      </c>
      <c r="E43" t="s">
        <v>36</v>
      </c>
    </row>
    <row r="44" spans="1:5" x14ac:dyDescent="0.25">
      <c r="A44" s="3">
        <v>45927</v>
      </c>
      <c r="B44" s="16"/>
      <c r="C44" t="s">
        <v>143</v>
      </c>
      <c r="D44">
        <v>44.93</v>
      </c>
      <c r="E44" t="s">
        <v>37</v>
      </c>
    </row>
    <row r="45" spans="1:5" x14ac:dyDescent="0.25">
      <c r="A45" s="3">
        <v>45927</v>
      </c>
      <c r="B45" s="16"/>
      <c r="C45" t="s">
        <v>144</v>
      </c>
      <c r="D45">
        <v>44.93</v>
      </c>
      <c r="E45" t="s">
        <v>38</v>
      </c>
    </row>
    <row r="46" spans="1:5" x14ac:dyDescent="0.25">
      <c r="A46" s="3">
        <v>45927</v>
      </c>
      <c r="B46" s="16"/>
      <c r="C46" t="s">
        <v>145</v>
      </c>
      <c r="D46">
        <v>44.93</v>
      </c>
      <c r="E46" t="s">
        <v>39</v>
      </c>
    </row>
    <row r="47" spans="1:5" x14ac:dyDescent="0.25">
      <c r="A47" s="3">
        <v>45950</v>
      </c>
      <c r="B47" s="16"/>
      <c r="C47" t="s">
        <v>152</v>
      </c>
      <c r="D47">
        <v>19.13</v>
      </c>
      <c r="E47" t="s">
        <v>153</v>
      </c>
    </row>
    <row r="48" spans="1:5" x14ac:dyDescent="0.25">
      <c r="A48" s="3">
        <v>45950</v>
      </c>
      <c r="B48" s="16"/>
      <c r="C48" t="s">
        <v>163</v>
      </c>
      <c r="D48">
        <v>19.13</v>
      </c>
      <c r="E48" t="s">
        <v>154</v>
      </c>
    </row>
    <row r="49" spans="1:5" x14ac:dyDescent="0.25">
      <c r="A49" s="3">
        <v>45950</v>
      </c>
      <c r="B49" s="16"/>
      <c r="C49" t="s">
        <v>164</v>
      </c>
      <c r="D49">
        <v>19.13</v>
      </c>
      <c r="E49" t="s">
        <v>155</v>
      </c>
    </row>
    <row r="50" spans="1:5" x14ac:dyDescent="0.25">
      <c r="A50" s="3">
        <v>45950</v>
      </c>
      <c r="B50" s="16"/>
      <c r="C50" t="s">
        <v>165</v>
      </c>
      <c r="D50">
        <v>19.13</v>
      </c>
      <c r="E50" t="s">
        <v>156</v>
      </c>
    </row>
    <row r="51" spans="1:5" x14ac:dyDescent="0.25">
      <c r="A51" s="3">
        <v>45950</v>
      </c>
      <c r="B51" s="16"/>
      <c r="C51" t="s">
        <v>166</v>
      </c>
      <c r="D51">
        <v>19.13</v>
      </c>
      <c r="E51" t="s">
        <v>157</v>
      </c>
    </row>
    <row r="52" spans="1:5" x14ac:dyDescent="0.25">
      <c r="A52" s="3">
        <v>45950</v>
      </c>
      <c r="B52" s="16"/>
      <c r="C52" t="s">
        <v>167</v>
      </c>
      <c r="D52">
        <v>19.13</v>
      </c>
      <c r="E52" t="s">
        <v>158</v>
      </c>
    </row>
    <row r="53" spans="1:5" x14ac:dyDescent="0.25">
      <c r="A53" s="3">
        <v>45950</v>
      </c>
      <c r="B53" s="16"/>
      <c r="C53" t="s">
        <v>168</v>
      </c>
      <c r="D53">
        <v>19.13</v>
      </c>
      <c r="E53" t="s">
        <v>159</v>
      </c>
    </row>
    <row r="54" spans="1:5" x14ac:dyDescent="0.25">
      <c r="A54" s="3">
        <v>45950</v>
      </c>
      <c r="B54" s="16"/>
      <c r="C54" t="s">
        <v>168</v>
      </c>
      <c r="D54">
        <v>19.13</v>
      </c>
      <c r="E54" t="s">
        <v>160</v>
      </c>
    </row>
    <row r="55" spans="1:5" x14ac:dyDescent="0.25">
      <c r="A55" s="3">
        <v>45950</v>
      </c>
      <c r="B55" s="16"/>
      <c r="C55" t="s">
        <v>144</v>
      </c>
      <c r="D55">
        <v>19.13</v>
      </c>
      <c r="E55" t="s">
        <v>161</v>
      </c>
    </row>
    <row r="56" spans="1:5" x14ac:dyDescent="0.25">
      <c r="A56" s="3">
        <v>45950</v>
      </c>
      <c r="B56" s="16"/>
      <c r="C56" t="s">
        <v>145</v>
      </c>
      <c r="D56">
        <v>19.13</v>
      </c>
      <c r="E56" t="s">
        <v>162</v>
      </c>
    </row>
    <row r="57" spans="1:5" x14ac:dyDescent="0.25">
      <c r="A57" s="3">
        <v>45987</v>
      </c>
      <c r="B57" s="16"/>
      <c r="C57" t="s">
        <v>146</v>
      </c>
      <c r="D57">
        <v>26.23</v>
      </c>
      <c r="E57" t="s">
        <v>33</v>
      </c>
    </row>
    <row r="58" spans="1:5" x14ac:dyDescent="0.25">
      <c r="A58" s="3">
        <v>45987</v>
      </c>
      <c r="B58" s="16"/>
      <c r="C58" t="s">
        <v>147</v>
      </c>
      <c r="D58">
        <v>26.23</v>
      </c>
      <c r="E58" t="s">
        <v>34</v>
      </c>
    </row>
    <row r="59" spans="1:5" x14ac:dyDescent="0.25">
      <c r="A59" s="3">
        <v>46004</v>
      </c>
      <c r="B59" s="16"/>
      <c r="C59" t="s">
        <v>148</v>
      </c>
      <c r="D59">
        <v>237.15</v>
      </c>
      <c r="E59" t="s">
        <v>33</v>
      </c>
    </row>
    <row r="60" spans="1:5" x14ac:dyDescent="0.25">
      <c r="A60" s="3">
        <v>46004</v>
      </c>
      <c r="B60" s="16"/>
      <c r="C60" t="s">
        <v>149</v>
      </c>
      <c r="D60">
        <v>237.15</v>
      </c>
      <c r="E60" t="s">
        <v>34</v>
      </c>
    </row>
    <row r="61" spans="1:5" x14ac:dyDescent="0.25">
      <c r="A61" s="3">
        <v>46021</v>
      </c>
      <c r="B61" s="16"/>
      <c r="C61" t="s">
        <v>150</v>
      </c>
      <c r="D61">
        <v>113.74</v>
      </c>
      <c r="E61" t="s">
        <v>33</v>
      </c>
    </row>
    <row r="62" spans="1:5" x14ac:dyDescent="0.25">
      <c r="A62" s="3">
        <v>46021</v>
      </c>
      <c r="B62" s="16"/>
      <c r="C62" t="s">
        <v>175</v>
      </c>
      <c r="D62">
        <v>25</v>
      </c>
      <c r="E62" t="s">
        <v>33</v>
      </c>
    </row>
    <row r="63" spans="1:5" x14ac:dyDescent="0.25">
      <c r="A63" s="3">
        <v>46022</v>
      </c>
      <c r="B63" s="16"/>
      <c r="C63" t="s">
        <v>26</v>
      </c>
      <c r="D63">
        <v>13.92</v>
      </c>
      <c r="E63" t="s">
        <v>33</v>
      </c>
    </row>
    <row r="64" spans="1:5" x14ac:dyDescent="0.25">
      <c r="A64" s="3">
        <v>46022</v>
      </c>
      <c r="B64" s="16"/>
      <c r="C64" t="s">
        <v>173</v>
      </c>
      <c r="D64">
        <v>29.99</v>
      </c>
      <c r="E64" t="s">
        <v>33</v>
      </c>
    </row>
    <row r="65" spans="1:5" x14ac:dyDescent="0.25">
      <c r="A65" s="3">
        <v>46022</v>
      </c>
      <c r="B65" s="16"/>
      <c r="C65" t="s">
        <v>174</v>
      </c>
      <c r="D65">
        <v>32</v>
      </c>
      <c r="E65" t="s">
        <v>33</v>
      </c>
    </row>
    <row r="66" spans="1:5" x14ac:dyDescent="0.25">
      <c r="A66" s="3">
        <v>46022</v>
      </c>
      <c r="B66" s="16"/>
      <c r="D66">
        <v>30</v>
      </c>
      <c r="E66" t="s">
        <v>33</v>
      </c>
    </row>
    <row r="67" spans="1:5" x14ac:dyDescent="0.25">
      <c r="A67" s="3">
        <v>46023</v>
      </c>
      <c r="B67" s="4" t="s">
        <v>29</v>
      </c>
      <c r="C67" t="s">
        <v>26</v>
      </c>
      <c r="D67">
        <v>39.36</v>
      </c>
      <c r="E67" t="s">
        <v>33</v>
      </c>
    </row>
    <row r="68" spans="1:5" x14ac:dyDescent="0.25">
      <c r="A68" s="3">
        <v>46024</v>
      </c>
      <c r="B68" s="4" t="s">
        <v>30</v>
      </c>
      <c r="C68" t="s">
        <v>31</v>
      </c>
      <c r="D68">
        <v>42.17</v>
      </c>
      <c r="E68" t="s">
        <v>33</v>
      </c>
    </row>
    <row r="69" spans="1:5" x14ac:dyDescent="0.25">
      <c r="A69" s="3">
        <v>46024</v>
      </c>
      <c r="C69" t="s">
        <v>32</v>
      </c>
      <c r="D69">
        <v>22.94</v>
      </c>
      <c r="E69" t="s">
        <v>33</v>
      </c>
    </row>
    <row r="70" spans="1:5" x14ac:dyDescent="0.25">
      <c r="A70" s="3">
        <v>46024</v>
      </c>
      <c r="C70" t="s">
        <v>32</v>
      </c>
      <c r="D70">
        <v>22.94</v>
      </c>
      <c r="E70" t="s">
        <v>34</v>
      </c>
    </row>
    <row r="71" spans="1:5" x14ac:dyDescent="0.25">
      <c r="A71" s="3">
        <v>46024</v>
      </c>
      <c r="C71" t="s">
        <v>32</v>
      </c>
      <c r="D71">
        <v>22.94</v>
      </c>
      <c r="E71" t="s">
        <v>35</v>
      </c>
    </row>
    <row r="72" spans="1:5" x14ac:dyDescent="0.25">
      <c r="A72" s="3">
        <v>46024</v>
      </c>
      <c r="C72" t="s">
        <v>32</v>
      </c>
      <c r="D72">
        <v>22.94</v>
      </c>
      <c r="E72" t="s">
        <v>36</v>
      </c>
    </row>
    <row r="73" spans="1:5" x14ac:dyDescent="0.25">
      <c r="A73" s="3">
        <v>46024</v>
      </c>
      <c r="C73" t="s">
        <v>32</v>
      </c>
      <c r="D73">
        <v>22.94</v>
      </c>
      <c r="E73" t="s">
        <v>37</v>
      </c>
    </row>
    <row r="74" spans="1:5" x14ac:dyDescent="0.25">
      <c r="A74" s="3">
        <v>46024</v>
      </c>
      <c r="C74" t="s">
        <v>32</v>
      </c>
      <c r="D74">
        <v>22.94</v>
      </c>
      <c r="E74" t="s">
        <v>38</v>
      </c>
    </row>
    <row r="75" spans="1:5" x14ac:dyDescent="0.25">
      <c r="A75" s="3">
        <v>46024</v>
      </c>
      <c r="C75" t="s">
        <v>32</v>
      </c>
      <c r="D75">
        <v>22.94</v>
      </c>
      <c r="E75" t="s">
        <v>39</v>
      </c>
    </row>
    <row r="76" spans="1:5" x14ac:dyDescent="0.25">
      <c r="A76" s="3">
        <v>46024</v>
      </c>
      <c r="C76" t="s">
        <v>32</v>
      </c>
      <c r="D76">
        <v>22.94</v>
      </c>
      <c r="E76" t="s">
        <v>40</v>
      </c>
    </row>
    <row r="77" spans="1:5" x14ac:dyDescent="0.25">
      <c r="A77" s="3">
        <v>46024</v>
      </c>
      <c r="C77" t="s">
        <v>32</v>
      </c>
      <c r="D77">
        <v>22.94</v>
      </c>
      <c r="E77" t="s">
        <v>41</v>
      </c>
    </row>
    <row r="78" spans="1:5" x14ac:dyDescent="0.25">
      <c r="A78" s="3">
        <v>46024</v>
      </c>
      <c r="C78" t="s">
        <v>32</v>
      </c>
      <c r="D78">
        <v>22.94</v>
      </c>
      <c r="E78" t="s">
        <v>42</v>
      </c>
    </row>
    <row r="79" spans="1:5" x14ac:dyDescent="0.25">
      <c r="A79" s="3">
        <v>46025</v>
      </c>
      <c r="B79" s="4">
        <v>95295</v>
      </c>
      <c r="C79" t="s">
        <v>22</v>
      </c>
      <c r="D79">
        <v>9.99</v>
      </c>
      <c r="E79" t="s">
        <v>33</v>
      </c>
    </row>
    <row r="80" spans="1:5" x14ac:dyDescent="0.25">
      <c r="A80" s="3">
        <v>46025</v>
      </c>
      <c r="B80" s="4" t="s">
        <v>23</v>
      </c>
      <c r="C80" t="s">
        <v>24</v>
      </c>
      <c r="D80">
        <v>20</v>
      </c>
      <c r="E80" t="s">
        <v>33</v>
      </c>
    </row>
    <row r="81" spans="1:5" x14ac:dyDescent="0.25">
      <c r="A81" s="3">
        <v>46025</v>
      </c>
      <c r="C81" t="s">
        <v>31</v>
      </c>
      <c r="D81">
        <v>58.01</v>
      </c>
      <c r="E81" t="s">
        <v>33</v>
      </c>
    </row>
    <row r="82" spans="1:5" x14ac:dyDescent="0.25">
      <c r="A82" s="3">
        <v>46025</v>
      </c>
      <c r="C82" t="s">
        <v>43</v>
      </c>
      <c r="D82">
        <v>40</v>
      </c>
      <c r="E82" t="s">
        <v>33</v>
      </c>
    </row>
    <row r="83" spans="1:5" x14ac:dyDescent="0.25">
      <c r="A83" s="3">
        <v>46026</v>
      </c>
      <c r="B83" s="4" t="s">
        <v>25</v>
      </c>
      <c r="C83" t="s">
        <v>26</v>
      </c>
      <c r="D83">
        <v>62.54</v>
      </c>
      <c r="E83" t="s">
        <v>33</v>
      </c>
    </row>
    <row r="84" spans="1:5" x14ac:dyDescent="0.25">
      <c r="A84" s="3">
        <v>46026</v>
      </c>
      <c r="B84" s="4" t="s">
        <v>27</v>
      </c>
      <c r="C84" t="s">
        <v>28</v>
      </c>
      <c r="D84">
        <v>30.67</v>
      </c>
      <c r="E84" t="s">
        <v>33</v>
      </c>
    </row>
    <row r="85" spans="1:5" x14ac:dyDescent="0.25">
      <c r="A85" s="3">
        <v>46027</v>
      </c>
      <c r="C85" t="s">
        <v>43</v>
      </c>
      <c r="D85">
        <v>30</v>
      </c>
      <c r="E85" t="s">
        <v>33</v>
      </c>
    </row>
    <row r="86" spans="1:5" x14ac:dyDescent="0.25">
      <c r="A86" s="3">
        <v>46028</v>
      </c>
      <c r="C86" t="s">
        <v>52</v>
      </c>
      <c r="D86">
        <v>26.5</v>
      </c>
      <c r="E86" t="s">
        <v>33</v>
      </c>
    </row>
    <row r="87" spans="1:5" x14ac:dyDescent="0.25">
      <c r="A87" s="3">
        <v>46029</v>
      </c>
      <c r="B87" s="4" t="s">
        <v>53</v>
      </c>
      <c r="C87" t="s">
        <v>26</v>
      </c>
      <c r="D87">
        <v>42.25</v>
      </c>
      <c r="E87" t="s">
        <v>33</v>
      </c>
    </row>
    <row r="88" spans="1:5" x14ac:dyDescent="0.25">
      <c r="A88" s="3">
        <v>46029</v>
      </c>
      <c r="B88" s="4" t="s">
        <v>55</v>
      </c>
      <c r="C88" t="s">
        <v>54</v>
      </c>
      <c r="D88">
        <v>9.56</v>
      </c>
      <c r="E88" t="s">
        <v>33</v>
      </c>
    </row>
    <row r="89" spans="1:5" x14ac:dyDescent="0.25">
      <c r="A89" s="3">
        <v>46031</v>
      </c>
      <c r="C89" t="s">
        <v>68</v>
      </c>
      <c r="D89">
        <v>30</v>
      </c>
      <c r="E89" t="s">
        <v>33</v>
      </c>
    </row>
    <row r="90" spans="1:5" x14ac:dyDescent="0.25">
      <c r="A90" s="3">
        <v>46031</v>
      </c>
      <c r="B90" s="4" t="s">
        <v>67</v>
      </c>
      <c r="C90" t="s">
        <v>22</v>
      </c>
      <c r="D90">
        <v>9.99</v>
      </c>
      <c r="E90" t="s">
        <v>33</v>
      </c>
    </row>
    <row r="91" spans="1:5" x14ac:dyDescent="0.25">
      <c r="A91" s="3">
        <v>46031</v>
      </c>
      <c r="C91" t="s">
        <v>54</v>
      </c>
      <c r="D91">
        <v>15.15</v>
      </c>
      <c r="E91" t="s">
        <v>33</v>
      </c>
    </row>
    <row r="92" spans="1:5" x14ac:dyDescent="0.25">
      <c r="A92" s="3">
        <v>46031</v>
      </c>
      <c r="C92" t="s">
        <v>52</v>
      </c>
      <c r="D92" s="17" t="s">
        <v>90</v>
      </c>
      <c r="E92" t="s">
        <v>33</v>
      </c>
    </row>
    <row r="93" spans="1:5" x14ac:dyDescent="0.25">
      <c r="A93" s="3">
        <v>46031</v>
      </c>
      <c r="C93" t="s">
        <v>43</v>
      </c>
      <c r="D93">
        <v>50</v>
      </c>
      <c r="E93" t="s">
        <v>33</v>
      </c>
    </row>
    <row r="94" spans="1:5" x14ac:dyDescent="0.25">
      <c r="A94" s="3">
        <v>46032</v>
      </c>
      <c r="C94" t="s">
        <v>66</v>
      </c>
      <c r="D94">
        <v>120</v>
      </c>
      <c r="E94" t="s">
        <v>33</v>
      </c>
    </row>
    <row r="95" spans="1:5" x14ac:dyDescent="0.25">
      <c r="A95" s="3">
        <v>46032</v>
      </c>
      <c r="C95" t="s">
        <v>62</v>
      </c>
      <c r="D95">
        <v>19.899999999999999</v>
      </c>
      <c r="E95" t="s">
        <v>33</v>
      </c>
    </row>
    <row r="96" spans="1:5" x14ac:dyDescent="0.25">
      <c r="A96" s="3">
        <v>46032</v>
      </c>
      <c r="B96" s="4" t="s">
        <v>63</v>
      </c>
      <c r="C96" t="s">
        <v>54</v>
      </c>
      <c r="D96">
        <v>14.47</v>
      </c>
      <c r="E96" t="s">
        <v>33</v>
      </c>
    </row>
    <row r="97" spans="1:5" x14ac:dyDescent="0.25">
      <c r="A97" s="3">
        <v>46032</v>
      </c>
      <c r="C97" t="s">
        <v>69</v>
      </c>
      <c r="D97">
        <v>80</v>
      </c>
      <c r="E97" t="s">
        <v>33</v>
      </c>
    </row>
    <row r="98" spans="1:5" x14ac:dyDescent="0.25">
      <c r="A98" s="3">
        <v>46032</v>
      </c>
      <c r="C98" t="s">
        <v>70</v>
      </c>
      <c r="D98">
        <v>80</v>
      </c>
      <c r="E98" t="s">
        <v>34</v>
      </c>
    </row>
    <row r="99" spans="1:5" x14ac:dyDescent="0.25">
      <c r="A99" s="3">
        <v>46032</v>
      </c>
      <c r="C99" t="s">
        <v>71</v>
      </c>
      <c r="D99">
        <v>80</v>
      </c>
      <c r="E99" t="s">
        <v>35</v>
      </c>
    </row>
    <row r="100" spans="1:5" x14ac:dyDescent="0.25">
      <c r="A100" s="3">
        <v>46032</v>
      </c>
      <c r="C100" t="s">
        <v>72</v>
      </c>
      <c r="D100">
        <v>80</v>
      </c>
      <c r="E100" t="s">
        <v>36</v>
      </c>
    </row>
    <row r="101" spans="1:5" x14ac:dyDescent="0.25">
      <c r="A101" s="3">
        <v>46032</v>
      </c>
      <c r="C101" t="s">
        <v>73</v>
      </c>
      <c r="D101">
        <v>80</v>
      </c>
      <c r="E101" t="s">
        <v>37</v>
      </c>
    </row>
    <row r="102" spans="1:5" x14ac:dyDescent="0.25">
      <c r="A102" s="3">
        <v>46032</v>
      </c>
      <c r="C102" t="s">
        <v>74</v>
      </c>
      <c r="D102">
        <v>80</v>
      </c>
      <c r="E102" t="s">
        <v>38</v>
      </c>
    </row>
    <row r="103" spans="1:5" x14ac:dyDescent="0.25">
      <c r="A103" s="3">
        <v>46032</v>
      </c>
      <c r="C103" t="s">
        <v>75</v>
      </c>
      <c r="D103">
        <v>80</v>
      </c>
      <c r="E103" t="s">
        <v>39</v>
      </c>
    </row>
    <row r="104" spans="1:5" x14ac:dyDescent="0.25">
      <c r="A104" s="3">
        <v>46032</v>
      </c>
      <c r="C104" t="s">
        <v>76</v>
      </c>
      <c r="D104">
        <v>80</v>
      </c>
      <c r="E104" t="s">
        <v>40</v>
      </c>
    </row>
    <row r="105" spans="1:5" x14ac:dyDescent="0.25">
      <c r="A105" s="3">
        <v>46032</v>
      </c>
      <c r="C105" t="s">
        <v>77</v>
      </c>
      <c r="D105">
        <v>80</v>
      </c>
      <c r="E105" t="s">
        <v>41</v>
      </c>
    </row>
    <row r="106" spans="1:5" x14ac:dyDescent="0.25">
      <c r="A106" s="3">
        <v>46032</v>
      </c>
      <c r="C106" t="s">
        <v>78</v>
      </c>
      <c r="D106">
        <v>80</v>
      </c>
      <c r="E106" t="s">
        <v>42</v>
      </c>
    </row>
    <row r="107" spans="1:5" x14ac:dyDescent="0.25">
      <c r="A107" s="3">
        <v>46032</v>
      </c>
      <c r="C107" t="s">
        <v>112</v>
      </c>
      <c r="D107">
        <v>127.82</v>
      </c>
      <c r="E107" t="s">
        <v>79</v>
      </c>
    </row>
    <row r="108" spans="1:5" x14ac:dyDescent="0.25">
      <c r="A108" s="3">
        <v>46032</v>
      </c>
      <c r="C108" t="s">
        <v>113</v>
      </c>
      <c r="D108">
        <v>127.82</v>
      </c>
      <c r="E108" t="s">
        <v>80</v>
      </c>
    </row>
    <row r="109" spans="1:5" x14ac:dyDescent="0.25">
      <c r="A109" s="3">
        <v>46032</v>
      </c>
      <c r="C109" t="s">
        <v>114</v>
      </c>
      <c r="D109">
        <v>127.82</v>
      </c>
      <c r="E109" t="s">
        <v>81</v>
      </c>
    </row>
    <row r="110" spans="1:5" x14ac:dyDescent="0.25">
      <c r="A110" s="3">
        <v>46032</v>
      </c>
      <c r="C110" t="s">
        <v>115</v>
      </c>
      <c r="D110">
        <v>127.82</v>
      </c>
      <c r="E110" t="s">
        <v>82</v>
      </c>
    </row>
    <row r="111" spans="1:5" x14ac:dyDescent="0.25">
      <c r="A111" s="3">
        <v>46032</v>
      </c>
      <c r="C111" t="s">
        <v>116</v>
      </c>
      <c r="D111">
        <v>127.82</v>
      </c>
      <c r="E111" t="s">
        <v>83</v>
      </c>
    </row>
    <row r="112" spans="1:5" x14ac:dyDescent="0.25">
      <c r="A112" s="3">
        <v>46032</v>
      </c>
      <c r="C112" t="s">
        <v>117</v>
      </c>
      <c r="D112">
        <v>127.82</v>
      </c>
      <c r="E112" t="s">
        <v>84</v>
      </c>
    </row>
    <row r="113" spans="1:5" x14ac:dyDescent="0.25">
      <c r="A113" s="3">
        <v>46032</v>
      </c>
      <c r="C113" t="s">
        <v>118</v>
      </c>
      <c r="D113">
        <v>127.82</v>
      </c>
      <c r="E113" t="s">
        <v>85</v>
      </c>
    </row>
    <row r="114" spans="1:5" x14ac:dyDescent="0.25">
      <c r="A114" s="3">
        <v>46032</v>
      </c>
      <c r="C114" t="s">
        <v>119</v>
      </c>
      <c r="D114">
        <v>127.82</v>
      </c>
      <c r="E114" t="s">
        <v>86</v>
      </c>
    </row>
    <row r="115" spans="1:5" x14ac:dyDescent="0.25">
      <c r="A115" s="3">
        <v>46032</v>
      </c>
      <c r="C115" t="s">
        <v>120</v>
      </c>
      <c r="D115">
        <v>127.82</v>
      </c>
      <c r="E115" t="s">
        <v>87</v>
      </c>
    </row>
    <row r="116" spans="1:5" x14ac:dyDescent="0.25">
      <c r="A116" s="3">
        <v>46032</v>
      </c>
      <c r="C116" t="s">
        <v>121</v>
      </c>
      <c r="D116">
        <v>127.82</v>
      </c>
      <c r="E116" t="s">
        <v>88</v>
      </c>
    </row>
    <row r="117" spans="1:5" x14ac:dyDescent="0.25">
      <c r="A117" s="3">
        <v>46032</v>
      </c>
      <c r="C117" t="s">
        <v>122</v>
      </c>
      <c r="D117">
        <v>127.82</v>
      </c>
      <c r="E117" t="s">
        <v>89</v>
      </c>
    </row>
    <row r="118" spans="1:5" x14ac:dyDescent="0.25">
      <c r="A118" s="3">
        <v>46032</v>
      </c>
      <c r="C118" t="s">
        <v>170</v>
      </c>
      <c r="D118">
        <v>18</v>
      </c>
      <c r="E118" t="s">
        <v>33</v>
      </c>
    </row>
    <row r="119" spans="1:5" x14ac:dyDescent="0.25">
      <c r="A119" s="3">
        <v>46032</v>
      </c>
      <c r="C119" t="s">
        <v>172</v>
      </c>
      <c r="D119">
        <v>8</v>
      </c>
      <c r="E119" t="s">
        <v>33</v>
      </c>
    </row>
    <row r="120" spans="1:5" x14ac:dyDescent="0.25">
      <c r="A120" s="3">
        <v>46033</v>
      </c>
      <c r="B120" s="4" t="s">
        <v>64</v>
      </c>
      <c r="C120" t="s">
        <v>54</v>
      </c>
      <c r="D120">
        <v>8.36</v>
      </c>
      <c r="E120" t="s">
        <v>33</v>
      </c>
    </row>
    <row r="121" spans="1:5" x14ac:dyDescent="0.25">
      <c r="A121" s="3">
        <v>46033</v>
      </c>
      <c r="B121" s="4" t="s">
        <v>65</v>
      </c>
      <c r="C121" t="s">
        <v>26</v>
      </c>
      <c r="D121">
        <v>32.21</v>
      </c>
      <c r="E121" t="s">
        <v>33</v>
      </c>
    </row>
    <row r="122" spans="1:5" x14ac:dyDescent="0.25">
      <c r="A122" s="3">
        <v>46034</v>
      </c>
      <c r="C122" t="s">
        <v>171</v>
      </c>
      <c r="D122">
        <v>34</v>
      </c>
      <c r="E122" t="s">
        <v>33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Cesar Moreira Arantes</dc:creator>
  <cp:lastModifiedBy>Caio Cesar Moreira Arantes</cp:lastModifiedBy>
  <dcterms:created xsi:type="dcterms:W3CDTF">2025-12-15T17:41:52Z</dcterms:created>
  <dcterms:modified xsi:type="dcterms:W3CDTF">2026-01-29T11:08:55Z</dcterms:modified>
</cp:coreProperties>
</file>